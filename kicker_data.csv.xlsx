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Winner vs. Non-Winner Compariso" sheetId="2" r:id="rId5"/>
    <sheet state="visible" name="Winner Analysis" sheetId="3" r:id="rId6"/>
    <sheet state="visible" name="Team Analysis" sheetId="4" r:id="rId7"/>
    <sheet state="hidden" name="Journals" sheetId="5" r:id="rId8"/>
    <sheet state="hidden" name="Validate" sheetId="6" r:id="rId9"/>
    <sheet state="hidden" name="Sheet13" sheetId="7" r:id="rId10"/>
    <sheet state="hidden" name="Other Ideas" sheetId="8" r:id="rId11"/>
  </sheets>
  <definedNames>
    <definedName hidden="1" localSheetId="0" name="_xlnm._FilterDatabase">Data!$C$1:$C$1045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tc={2921f0d0-afcb-4d50-ba0a-12f8a9df22f0}</author>
  </authors>
  <commentList>
    <comment authorId="0" xr:uid="{2921f0d0-afcb-4d50-ba0a-12f8a9df22f0}" ref="A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checking about if bowl stats are included in these numbers
Reply:
	1999-1992
</t>
      </text>
    </comment>
  </commentList>
</comments>
</file>

<file path=xl/sharedStrings.xml><?xml version="1.0" encoding="utf-8"?>
<sst xmlns="http://schemas.openxmlformats.org/spreadsheetml/2006/main" count="728" uniqueCount="237">
  <si>
    <t>Statistic</t>
  </si>
  <si>
    <t>Minimum</t>
  </si>
  <si>
    <t>Year</t>
  </si>
  <si>
    <t>Winner Average</t>
  </si>
  <si>
    <t>Maximum</t>
  </si>
  <si>
    <t>Average</t>
  </si>
  <si>
    <t>Median</t>
  </si>
  <si>
    <t>Conference</t>
  </si>
  <si>
    <t>Non-Winner Average</t>
  </si>
  <si>
    <t>Difference</t>
  </si>
  <si>
    <t>FG%</t>
  </si>
  <si>
    <t>School</t>
  </si>
  <si>
    <t>Winners</t>
  </si>
  <si>
    <t>Award</t>
  </si>
  <si>
    <t>Non-Winners</t>
  </si>
  <si>
    <t>Player</t>
  </si>
  <si>
    <t>Total Count</t>
  </si>
  <si>
    <t>ACC</t>
  </si>
  <si>
    <t>Class</t>
  </si>
  <si>
    <t>FGM</t>
  </si>
  <si>
    <t>FGA</t>
  </si>
  <si>
    <t>FGM (1-19)</t>
  </si>
  <si>
    <t>FGA (1-19)</t>
  </si>
  <si>
    <t>FG% (1-19)</t>
  </si>
  <si>
    <t>FGM (20-29)</t>
  </si>
  <si>
    <t>FGA (20-29)</t>
  </si>
  <si>
    <t>FG% (20-29)</t>
  </si>
  <si>
    <t>FGM (30-39)</t>
  </si>
  <si>
    <t>FGA (30-39)</t>
  </si>
  <si>
    <t>FG% (30-39)</t>
  </si>
  <si>
    <t>FGM (40-49)</t>
  </si>
  <si>
    <t>FGA (40-49)</t>
  </si>
  <si>
    <t>FG% (40-49)</t>
  </si>
  <si>
    <t>FGM (50+)</t>
  </si>
  <si>
    <t>FGA (50+)</t>
  </si>
  <si>
    <t>FG% (50+)</t>
  </si>
  <si>
    <t>LongFG</t>
  </si>
  <si>
    <t>XPM</t>
  </si>
  <si>
    <t>XPA</t>
  </si>
  <si>
    <t>XP%</t>
  </si>
  <si>
    <t>TP</t>
  </si>
  <si>
    <t>FGMPG</t>
  </si>
  <si>
    <t>RS Wins</t>
  </si>
  <si>
    <t>P5/G6</t>
  </si>
  <si>
    <t>Data_Quality</t>
  </si>
  <si>
    <t>FGM_Score</t>
  </si>
  <si>
    <t>PGPct_Score</t>
  </si>
  <si>
    <t>FGM50_Score</t>
  </si>
  <si>
    <t>Long_Score</t>
  </si>
  <si>
    <t>FGMPG_Score</t>
  </si>
  <si>
    <t>Total_Score</t>
  </si>
  <si>
    <t>American</t>
  </si>
  <si>
    <t>Hawaii</t>
  </si>
  <si>
    <t>Finalist</t>
  </si>
  <si>
    <t>Kansei Matsuzawa</t>
  </si>
  <si>
    <t>Sr.</t>
  </si>
  <si>
    <t>Big 12</t>
  </si>
  <si>
    <t>Big East</t>
  </si>
  <si>
    <t>Big Ten</t>
  </si>
  <si>
    <t>MWC</t>
  </si>
  <si>
    <t>G6</t>
  </si>
  <si>
    <t>Complete</t>
  </si>
  <si>
    <t>CUSA</t>
  </si>
  <si>
    <t>Indy</t>
  </si>
  <si>
    <t>MAC</t>
  </si>
  <si>
    <t>Oklahoma</t>
  </si>
  <si>
    <t>Winner</t>
  </si>
  <si>
    <t>Tate Sandell</t>
  </si>
  <si>
    <t>Jr.</t>
  </si>
  <si>
    <t>Pac-12</t>
  </si>
  <si>
    <t>SEC</t>
  </si>
  <si>
    <t>P5</t>
  </si>
  <si>
    <t>Georgia Tech</t>
  </si>
  <si>
    <t>Aidan Birr</t>
  </si>
  <si>
    <t>Sun Belt</t>
  </si>
  <si>
    <t>Kentucky</t>
  </si>
  <si>
    <t>Alex Raynor</t>
  </si>
  <si>
    <t>WAC</t>
  </si>
  <si>
    <t>Louisiana</t>
  </si>
  <si>
    <t>Kenneth Almendares</t>
  </si>
  <si>
    <t>Longest</t>
  </si>
  <si>
    <t>Florda State</t>
  </si>
  <si>
    <t>Ryan Fitzgerald</t>
  </si>
  <si>
    <t>Category</t>
  </si>
  <si>
    <t>Average Wins</t>
  </si>
  <si>
    <t>Miami (OH)</t>
  </si>
  <si>
    <t>Graham Nicholson</t>
  </si>
  <si>
    <t>Total Points</t>
  </si>
  <si>
    <t>UNLV</t>
  </si>
  <si>
    <t>Jose Pizano</t>
  </si>
  <si>
    <t>Team Wins</t>
  </si>
  <si>
    <t>Alabama</t>
  </si>
  <si>
    <t>Will Reichard</t>
  </si>
  <si>
    <t>NC St.</t>
  </si>
  <si>
    <t>Christopher Dunn</t>
  </si>
  <si>
    <t>Rubric Points</t>
  </si>
  <si>
    <t>Michigan</t>
  </si>
  <si>
    <t>Jake Moody</t>
  </si>
  <si>
    <t>https://wsb.wharton.upenn.edu/journal-submission-guidelines/</t>
  </si>
  <si>
    <t>Stanford</t>
  </si>
  <si>
    <t>Joshua Karty</t>
  </si>
  <si>
    <t>Ohio State</t>
  </si>
  <si>
    <t>Noah Ruggles</t>
  </si>
  <si>
    <t>https://www.sloansportsconference.com/research-paper-competition</t>
  </si>
  <si>
    <t>https://link.springer.com/collections/hcfbbadeed</t>
  </si>
  <si>
    <t>https://iaeme.com/Home/journal/IJSA</t>
  </si>
  <si>
    <t>https://wsb.wharton.upenn.edu/wharton-sports-analytics-journal-2/</t>
  </si>
  <si>
    <t>Gabe Brkic</t>
  </si>
  <si>
    <t>https://journals.ku.edu/jams/index (more for examples on how to structure paper)</t>
  </si>
  <si>
    <t>So.</t>
  </si>
  <si>
    <t>BYU</t>
  </si>
  <si>
    <t>Alex Walls</t>
  </si>
  <si>
    <t>Jake Oldroyd</t>
  </si>
  <si>
    <t>Tennessee</t>
  </si>
  <si>
    <t>Miami (FL)</t>
  </si>
  <si>
    <t>Jose Borregales</t>
  </si>
  <si>
    <t>Missing</t>
  </si>
  <si>
    <t>Jamie Rheem</t>
  </si>
  <si>
    <t>Kansas State</t>
  </si>
  <si>
    <t>Damon Duval</t>
  </si>
  <si>
    <t>Auburn</t>
  </si>
  <si>
    <t>Travis Dorsch</t>
  </si>
  <si>
    <t>Purdue</t>
  </si>
  <si>
    <t>Iowa</t>
  </si>
  <si>
    <t>Keith Duncan</t>
  </si>
  <si>
    <t>Mike Nugent</t>
  </si>
  <si>
    <t>Jared Siegel</t>
  </si>
  <si>
    <t>Oregon</t>
  </si>
  <si>
    <t>Georgia</t>
  </si>
  <si>
    <t>Rodrigo Blankenship</t>
  </si>
  <si>
    <t>Nate Kaeding</t>
  </si>
  <si>
    <t>Winner Score</t>
  </si>
  <si>
    <t>Highest Non-Winner Score</t>
  </si>
  <si>
    <t>Clear Leader</t>
  </si>
  <si>
    <t>Tied At Top</t>
  </si>
  <si>
    <t>Outscored</t>
  </si>
  <si>
    <t>Clear Leader Years</t>
  </si>
  <si>
    <t>Score</t>
  </si>
  <si>
    <t>Tied/Outscored Years</t>
  </si>
  <si>
    <t>Fr.</t>
  </si>
  <si>
    <t>x</t>
  </si>
  <si>
    <t>Trey Dicarlo</t>
  </si>
  <si>
    <t>Washington St.</t>
  </si>
  <si>
    <t>Blake Mazza</t>
  </si>
  <si>
    <t>Consensus AA</t>
  </si>
  <si>
    <t>Nick Browne</t>
  </si>
  <si>
    <t>TCU</t>
  </si>
  <si>
    <t>Jonathan Ruffin</t>
  </si>
  <si>
    <t>Cincinnati</t>
  </si>
  <si>
    <t>Wyoming</t>
  </si>
  <si>
    <t>Cooper Rothe</t>
  </si>
  <si>
    <t>Partial</t>
  </si>
  <si>
    <t>Sebastian Janikowski</t>
  </si>
  <si>
    <t>Florida State</t>
  </si>
  <si>
    <t>LSU</t>
  </si>
  <si>
    <t>Cole Tracy</t>
  </si>
  <si>
    <t>Martin Gramatica</t>
  </si>
  <si>
    <t>Marc Primanti</t>
  </si>
  <si>
    <t>NC State</t>
  </si>
  <si>
    <t>Michael Reeder</t>
  </si>
  <si>
    <t>Syracuse</t>
  </si>
  <si>
    <t>Andre Szmyt</t>
  </si>
  <si>
    <t>Steve Mclaughlin</t>
  </si>
  <si>
    <t>Arizona</t>
  </si>
  <si>
    <t>Utah St.</t>
  </si>
  <si>
    <t>Dominik Eberle</t>
  </si>
  <si>
    <t>Judd Davis</t>
  </si>
  <si>
    <t>Florida</t>
  </si>
  <si>
    <t>Joe Allison</t>
  </si>
  <si>
    <t>Memphis</t>
  </si>
  <si>
    <t>Leigh Tiffin</t>
  </si>
  <si>
    <t>Daniel Carlson</t>
  </si>
  <si>
    <t>Utah</t>
  </si>
  <si>
    <t>Matt Gay</t>
  </si>
  <si>
    <t>Win Rates Per Point Total (on Groza Grid rubric)</t>
  </si>
  <si>
    <t>Runners-up</t>
  </si>
  <si>
    <t>Win Rate</t>
  </si>
  <si>
    <t>Georgia Southern</t>
  </si>
  <si>
    <t>Younghoe Koo</t>
  </si>
  <si>
    <t>Arizona State</t>
  </si>
  <si>
    <t>Zane Gonzalez</t>
  </si>
  <si>
    <t>Jake Elliot</t>
  </si>
  <si>
    <t>UCLA</t>
  </si>
  <si>
    <t>Ka'Imi Fairbarn</t>
  </si>
  <si>
    <t>Roberto Aguayo</t>
  </si>
  <si>
    <t>West Virginia</t>
  </si>
  <si>
    <t>Josh Lambert</t>
  </si>
  <si>
    <t>Maryland</t>
  </si>
  <si>
    <t>Brad Craddock</t>
  </si>
  <si>
    <t>Texas</t>
  </si>
  <si>
    <t>Anthony Fera</t>
  </si>
  <si>
    <t>USF</t>
  </si>
  <si>
    <t>Marvin Kloss</t>
  </si>
  <si>
    <t>Caleb Sturgis</t>
  </si>
  <si>
    <t>Dustin Hopkins</t>
  </si>
  <si>
    <t>Tulane</t>
  </si>
  <si>
    <t>Cairo Santos</t>
  </si>
  <si>
    <t>Texas A&amp;M</t>
  </si>
  <si>
    <t>Randy Bullock</t>
  </si>
  <si>
    <t>Notre Dame</t>
  </si>
  <si>
    <t>David Ruffer</t>
  </si>
  <si>
    <t>Oklahoma State</t>
  </si>
  <si>
    <t>Dan Bailey</t>
  </si>
  <si>
    <t>Josh Jasper</t>
  </si>
  <si>
    <t>Southern Miss</t>
  </si>
  <si>
    <t>Danny Hrapmann</t>
  </si>
  <si>
    <t>Kai Forbath</t>
  </si>
  <si>
    <t>Blair Walsh</t>
  </si>
  <si>
    <t>Arkansas State</t>
  </si>
  <si>
    <t>Josh Arauco</t>
  </si>
  <si>
    <t>Graham Gano</t>
  </si>
  <si>
    <t>Louie Sakoda</t>
  </si>
  <si>
    <t>Indiana</t>
  </si>
  <si>
    <t>Austin Starr</t>
  </si>
  <si>
    <t>New Mexico</t>
  </si>
  <si>
    <t>John Sullivan</t>
  </si>
  <si>
    <t>Thomas Weber</t>
  </si>
  <si>
    <t>UTEP</t>
  </si>
  <si>
    <t>Jose Martinez</t>
  </si>
  <si>
    <t>Garrett Hartley</t>
  </si>
  <si>
    <t>Justin Medlock</t>
  </si>
  <si>
    <t>Louisville</t>
  </si>
  <si>
    <t>Arthur Carmody</t>
  </si>
  <si>
    <t>John Vaughn</t>
  </si>
  <si>
    <t>Oregon State</t>
  </si>
  <si>
    <t>Alexis Serna</t>
  </si>
  <si>
    <t>Clemson</t>
  </si>
  <si>
    <t>Jad Dean</t>
  </si>
  <si>
    <t>Colorado</t>
  </si>
  <si>
    <t>Mason Crosby</t>
  </si>
  <si>
    <t>Boise State</t>
  </si>
  <si>
    <t>Tyler Jones</t>
  </si>
  <si>
    <t>Eastern Michigan</t>
  </si>
  <si>
    <t>Andrew Wellock</t>
  </si>
  <si>
    <t>Ole Miss</t>
  </si>
  <si>
    <t>Jonathan Nichols</t>
  </si>
  <si>
    <t>Seth Marler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</si>
</sst>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b/>
    </font>
    <font/>
    <font>
      <u/>
      <color rgb="FF0000FF"/>
    </font>
    <font>
      <u/>
      <color rgb="FF0000FF"/>
    </font>
    <font>
      <b/>
      <sz val="11.0"/>
      <color rgb="FF000000"/>
      <name val="Arial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1" fillId="0" fontId="1" numFmtId="0" xfId="0" applyAlignment="1" applyBorder="1" applyFont="1">
      <alignment horizontal="left" readingOrder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1" fillId="0" fontId="1" numFmtId="4" xfId="0" applyAlignment="1" applyBorder="1" applyFont="1" applyNumberFormat="1">
      <alignment horizontal="center" readingOrder="0"/>
    </xf>
    <xf borderId="1" fillId="0" fontId="1" numFmtId="10" xfId="0" applyAlignment="1" applyBorder="1" applyFont="1" applyNumberFormat="1">
      <alignment horizontal="center" readingOrder="0"/>
    </xf>
    <xf borderId="0" fillId="0" fontId="2" numFmtId="10" xfId="0" applyAlignment="1" applyFont="1" applyNumberFormat="1">
      <alignment horizontal="center"/>
    </xf>
    <xf borderId="1" fillId="0" fontId="2" numFmtId="10" xfId="0" applyAlignment="1" applyBorder="1" applyFont="1" applyNumberFormat="1">
      <alignment horizontal="center"/>
    </xf>
    <xf borderId="0" fillId="2" fontId="1" numFmtId="0" xfId="0" applyAlignment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3" fontId="2" numFmtId="10" xfId="0" applyAlignment="1" applyBorder="1" applyFill="1" applyFont="1" applyNumberFormat="1">
      <alignment horizontal="center"/>
    </xf>
    <xf borderId="1" fillId="0" fontId="2" numFmtId="4" xfId="0" applyAlignment="1" applyBorder="1" applyFont="1" applyNumberFormat="1">
      <alignment horizontal="center"/>
    </xf>
    <xf borderId="1" fillId="3" fontId="2" numFmtId="4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1" fillId="0" fontId="2" numFmtId="10" xfId="0" applyAlignment="1" applyBorder="1" applyFont="1" applyNumberFormat="1">
      <alignment horizontal="center" readingOrder="0"/>
    </xf>
    <xf borderId="0" fillId="0" fontId="2" numFmtId="4" xfId="0" applyAlignment="1" applyFont="1" applyNumberFormat="1">
      <alignment horizontal="center"/>
    </xf>
    <xf borderId="1" fillId="4" fontId="2" numFmtId="10" xfId="0" applyAlignment="1" applyBorder="1" applyFill="1" applyFont="1" applyNumberFormat="1">
      <alignment horizontal="center"/>
    </xf>
    <xf borderId="0" fillId="2" fontId="2" numFmtId="0" xfId="0" applyFont="1"/>
    <xf borderId="0" fillId="0" fontId="2" numFmtId="4" xfId="0" applyFont="1" applyNumberFormat="1"/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center"/>
    </xf>
    <xf borderId="1" fillId="5" fontId="2" numFmtId="0" xfId="0" applyAlignment="1" applyBorder="1" applyFill="1" applyFont="1">
      <alignment horizontal="center" readingOrder="0"/>
    </xf>
    <xf borderId="1" fillId="5" fontId="2" numFmtId="10" xfId="0" applyAlignment="1" applyBorder="1" applyFont="1" applyNumberFormat="1">
      <alignment horizontal="center"/>
    </xf>
    <xf borderId="0" fillId="0" fontId="5" numFmtId="0" xfId="0" applyAlignment="1" applyFon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  <xf borderId="0" fillId="0" fontId="6" numFmtId="10" xfId="0" applyAlignment="1" applyFont="1" applyNumberFormat="1">
      <alignment horizontal="center" readingOrder="0" shrinkToFit="0" wrapText="1"/>
    </xf>
    <xf borderId="0" fillId="0" fontId="6" numFmtId="9" xfId="0" applyAlignment="1" applyFont="1" applyNumberFormat="1">
      <alignment horizontal="center" readingOrder="0" shrinkToFit="0" wrapText="1"/>
    </xf>
    <xf borderId="0" fillId="0" fontId="2" numFmtId="0" xfId="0" applyAlignment="1" applyFont="1">
      <alignment horizontal="left"/>
    </xf>
    <xf borderId="0" fillId="0" fontId="1" numFmtId="10" xfId="0" applyAlignment="1" applyFont="1" applyNumberFormat="1">
      <alignment horizontal="center"/>
    </xf>
    <xf borderId="0" fillId="0" fontId="1" numFmtId="4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drew Elsass" id="{f7be98b5-686d-4e45-9c4a-017475bd412c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2" dT="2017-09-22T06:34:40.00" personId="{f7be98b5-686d-4e45-9c4a-017475bd412c}" id="{2921f0d0-afcb-4d50-ba0a-12f8a9df22f0}" done="0">
    <x18tc:text xml:space="preserve">Need checking about if bowl stats are included in these numbers</x18tc:text>
  </x18tc:threadedComment>
  <x18tc:threadedComment ref="A12" dT="2017-09-22T06:34:48.00" personId="{f7be98b5-686d-4e45-9c4a-017475bd412c}" id="{50530173-25a6-4b31-bcf7-e1e5f66114ec}" parentId="{2921f0d0-afcb-4d50-ba0a-12f8a9df22f0}">
    <x18tc:text xml:space="preserve">1999-1992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sb.wharton.upenn.edu/journal-submission-guidelines/" TargetMode="External"/><Relationship Id="rId2" Type="http://schemas.openxmlformats.org/officeDocument/2006/relationships/hyperlink" Target="https://www.sloansportsconference.com/research-paper-competition" TargetMode="External"/><Relationship Id="rId3" Type="http://schemas.openxmlformats.org/officeDocument/2006/relationships/hyperlink" Target="https://link.springer.com/collections/hcfbbadeed" TargetMode="External"/><Relationship Id="rId4" Type="http://schemas.openxmlformats.org/officeDocument/2006/relationships/hyperlink" Target="https://iaeme.com/Home/journal/IJSA" TargetMode="External"/><Relationship Id="rId5" Type="http://schemas.openxmlformats.org/officeDocument/2006/relationships/hyperlink" Target="https://wsb.wharton.upenn.edu/wharton-sports-analytics-journal-2/" TargetMode="External"/><Relationship Id="rId6" Type="http://schemas.openxmlformats.org/officeDocument/2006/relationships/hyperlink" Target="https://journals.ku.edu/jams/index" TargetMode="External"/><Relationship Id="rId7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  <col customWidth="1" min="2" max="2" width="13.0"/>
    <col customWidth="1" min="3" max="3" width="8.5"/>
    <col customWidth="1" min="4" max="4" width="16.5"/>
    <col customWidth="1" min="5" max="6" width="4.75"/>
    <col customWidth="1" min="7" max="7" width="4.5"/>
    <col customWidth="1" min="8" max="8" width="7.63"/>
    <col customWidth="1" min="9" max="12" width="9.63"/>
    <col customWidth="1" min="13" max="18" width="10.5"/>
    <col customWidth="1" min="19" max="19" width="9.13"/>
    <col customWidth="1" min="20" max="20" width="10.63"/>
    <col customWidth="1" min="21" max="21" width="9.13"/>
    <col customWidth="1" min="22" max="22" width="8.88"/>
    <col customWidth="1" min="23" max="23" width="11.25"/>
    <col customWidth="1" min="24" max="25" width="4.63"/>
    <col customWidth="1" min="26" max="26" width="4.25"/>
    <col customWidth="1" min="27" max="27" width="7.63"/>
    <col customWidth="1" min="28" max="28" width="4.63"/>
    <col customWidth="1" min="29" max="30" width="11.38"/>
    <col customWidth="1" min="31" max="33" width="10.13"/>
  </cols>
  <sheetData>
    <row r="1">
      <c r="A1" s="5" t="s">
        <v>2</v>
      </c>
      <c r="B1" s="5" t="s">
        <v>11</v>
      </c>
      <c r="C1" s="2" t="s">
        <v>13</v>
      </c>
      <c r="D1" s="5" t="s">
        <v>15</v>
      </c>
      <c r="E1" s="4" t="s">
        <v>18</v>
      </c>
      <c r="F1" s="4" t="s">
        <v>19</v>
      </c>
      <c r="G1" s="4" t="s">
        <v>20</v>
      </c>
      <c r="H1" s="10" t="s">
        <v>10</v>
      </c>
      <c r="I1" s="4" t="s">
        <v>21</v>
      </c>
      <c r="J1" s="4" t="s">
        <v>22</v>
      </c>
      <c r="K1" s="11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  <c r="T1" s="4" t="s">
        <v>32</v>
      </c>
      <c r="U1" s="4" t="s">
        <v>33</v>
      </c>
      <c r="V1" s="4" t="s">
        <v>34</v>
      </c>
      <c r="W1" s="4" t="s">
        <v>35</v>
      </c>
      <c r="X1" s="4" t="s">
        <v>36</v>
      </c>
      <c r="Y1" s="4" t="s">
        <v>37</v>
      </c>
      <c r="Z1" s="4" t="s">
        <v>38</v>
      </c>
      <c r="AA1" s="4" t="s">
        <v>39</v>
      </c>
      <c r="AB1" s="4" t="s">
        <v>40</v>
      </c>
      <c r="AC1" s="4" t="s">
        <v>41</v>
      </c>
      <c r="AD1" s="4" t="s">
        <v>42</v>
      </c>
      <c r="AE1" s="4" t="s">
        <v>7</v>
      </c>
      <c r="AF1" s="4" t="s">
        <v>43</v>
      </c>
      <c r="AG1" s="4" t="s">
        <v>44</v>
      </c>
      <c r="AH1" s="14" t="s">
        <v>45</v>
      </c>
      <c r="AI1" s="14" t="s">
        <v>46</v>
      </c>
      <c r="AJ1" s="14" t="s">
        <v>47</v>
      </c>
      <c r="AK1" s="14" t="s">
        <v>48</v>
      </c>
      <c r="AL1" s="14" t="s">
        <v>49</v>
      </c>
      <c r="AM1" s="14" t="s">
        <v>50</v>
      </c>
    </row>
    <row r="2">
      <c r="A2" s="15">
        <v>2025.0</v>
      </c>
      <c r="B2" s="15" t="s">
        <v>52</v>
      </c>
      <c r="C2" s="7" t="s">
        <v>53</v>
      </c>
      <c r="D2" s="15" t="s">
        <v>54</v>
      </c>
      <c r="E2" s="16" t="s">
        <v>55</v>
      </c>
      <c r="F2" s="16">
        <v>27.0</v>
      </c>
      <c r="G2" s="16">
        <v>29.0</v>
      </c>
      <c r="H2" s="18">
        <f t="shared" ref="H2:H71" si="1">F2/G2</f>
        <v>0.9310344828</v>
      </c>
      <c r="I2" s="16">
        <v>1.0</v>
      </c>
      <c r="J2" s="16">
        <v>1.0</v>
      </c>
      <c r="K2" s="21">
        <f t="shared" ref="K2:K71" si="2">IF(J2=0, "", R2/S2)</f>
        <v>1</v>
      </c>
      <c r="L2" s="16">
        <v>5.0</v>
      </c>
      <c r="M2" s="16">
        <v>5.0</v>
      </c>
      <c r="N2" s="21">
        <f t="shared" ref="N2:N6" si="3">IF(M2=0, "", R2/S2)</f>
        <v>1</v>
      </c>
      <c r="O2" s="16">
        <v>10.0</v>
      </c>
      <c r="P2" s="16">
        <v>11.0</v>
      </c>
      <c r="Q2" s="21">
        <f t="shared" ref="Q2:Q71" si="4">DIVIDE(O2,P2)</f>
        <v>0.9090909091</v>
      </c>
      <c r="R2" s="16">
        <v>10.0</v>
      </c>
      <c r="S2" s="16">
        <v>10.0</v>
      </c>
      <c r="T2" s="21">
        <f t="shared" ref="T2:T71" si="5">IF(S2=0, "", R2/S2)</f>
        <v>1</v>
      </c>
      <c r="U2" s="16">
        <v>1.0</v>
      </c>
      <c r="V2" s="16">
        <v>2.0</v>
      </c>
      <c r="W2" s="21">
        <f t="shared" ref="W2:W71" si="6">IF(V2=0, "", U2/V2)</f>
        <v>0.5</v>
      </c>
      <c r="X2" s="16">
        <v>52.0</v>
      </c>
      <c r="Y2" s="16">
        <v>40.0</v>
      </c>
      <c r="Z2" s="16">
        <v>40.0</v>
      </c>
      <c r="AA2" s="13">
        <f t="shared" ref="AA2:AA71" si="7">Y2/Z2</f>
        <v>1</v>
      </c>
      <c r="AB2" s="16">
        <v>121.0</v>
      </c>
      <c r="AC2" s="16">
        <v>2.1</v>
      </c>
      <c r="AD2" s="16">
        <v>8.0</v>
      </c>
      <c r="AE2" s="16" t="s">
        <v>59</v>
      </c>
      <c r="AF2" s="16" t="s">
        <v>60</v>
      </c>
      <c r="AG2" s="16" t="s">
        <v>61</v>
      </c>
      <c r="AH2" s="24">
        <f t="shared" ref="AH2:AH71" si="8">IF(F2&lt;15, 0, IF(F2&lt;24, 1, 2))</f>
        <v>2</v>
      </c>
      <c r="AI2" s="24">
        <f t="shared" ref="AI2:AI71" si="9">IF(H2&lt;0.818, 0, IF(H2&lt;0.9146, 1, 2))</f>
        <v>2</v>
      </c>
      <c r="AJ2" s="24">
        <f t="shared" ref="AJ2:AJ71" si="10">IF(U2&lt;1, 0, IF(U2&lt;2, 1, 2))</f>
        <v>1</v>
      </c>
      <c r="AK2" s="24">
        <f t="shared" ref="AK2:AK71" si="11">IF(X2&lt;47, 0, IF(X2&lt;55, 1, 2))</f>
        <v>1</v>
      </c>
      <c r="AL2" s="24">
        <f t="shared" ref="AL2:AL71" si="12">IF(AC2&lt;1.1, 0, IF(AC2&lt;1.8, 1, 2))</f>
        <v>2</v>
      </c>
      <c r="AM2" s="24">
        <f t="shared" ref="AM2:AM71" si="13">SUM(AH2:AL2)</f>
        <v>8</v>
      </c>
    </row>
    <row r="3">
      <c r="A3" s="15">
        <v>2025.0</v>
      </c>
      <c r="B3" s="15" t="s">
        <v>65</v>
      </c>
      <c r="C3" s="7" t="s">
        <v>66</v>
      </c>
      <c r="D3" s="15" t="s">
        <v>67</v>
      </c>
      <c r="E3" s="16" t="s">
        <v>68</v>
      </c>
      <c r="F3" s="16">
        <v>24.0</v>
      </c>
      <c r="G3" s="16">
        <v>27.0</v>
      </c>
      <c r="H3" s="18">
        <f t="shared" si="1"/>
        <v>0.8888888889</v>
      </c>
      <c r="I3" s="16">
        <v>0.0</v>
      </c>
      <c r="J3" s="16">
        <v>0.0</v>
      </c>
      <c r="K3" s="21" t="str">
        <f t="shared" si="2"/>
        <v/>
      </c>
      <c r="L3" s="16">
        <v>5.0</v>
      </c>
      <c r="M3" s="16">
        <v>5.0</v>
      </c>
      <c r="N3" s="21">
        <f t="shared" si="3"/>
        <v>0.8888888889</v>
      </c>
      <c r="O3" s="16">
        <v>3.0</v>
      </c>
      <c r="P3" s="16">
        <v>4.0</v>
      </c>
      <c r="Q3" s="21">
        <f t="shared" si="4"/>
        <v>0.75</v>
      </c>
      <c r="R3" s="16">
        <v>8.0</v>
      </c>
      <c r="S3" s="16">
        <v>9.0</v>
      </c>
      <c r="T3" s="21">
        <f t="shared" si="5"/>
        <v>0.8888888889</v>
      </c>
      <c r="U3" s="16">
        <v>8.0</v>
      </c>
      <c r="V3" s="16">
        <v>9.0</v>
      </c>
      <c r="W3" s="21">
        <f t="shared" si="6"/>
        <v>0.8888888889</v>
      </c>
      <c r="X3" s="16">
        <v>55.0</v>
      </c>
      <c r="Y3" s="16">
        <v>35.0</v>
      </c>
      <c r="Z3" s="16">
        <v>35.0</v>
      </c>
      <c r="AA3" s="13">
        <f t="shared" si="7"/>
        <v>1</v>
      </c>
      <c r="AB3" s="16">
        <v>107.0</v>
      </c>
      <c r="AC3" s="16">
        <v>1.8</v>
      </c>
      <c r="AD3" s="16">
        <v>10.0</v>
      </c>
      <c r="AE3" s="16" t="s">
        <v>70</v>
      </c>
      <c r="AF3" s="16" t="s">
        <v>71</v>
      </c>
      <c r="AG3" s="16" t="s">
        <v>61</v>
      </c>
      <c r="AH3" s="24">
        <f t="shared" si="8"/>
        <v>2</v>
      </c>
      <c r="AI3" s="24">
        <f t="shared" si="9"/>
        <v>1</v>
      </c>
      <c r="AJ3" s="24">
        <f t="shared" si="10"/>
        <v>2</v>
      </c>
      <c r="AK3" s="24">
        <f t="shared" si="11"/>
        <v>2</v>
      </c>
      <c r="AL3" s="24">
        <f t="shared" si="12"/>
        <v>2</v>
      </c>
      <c r="AM3" s="24">
        <f t="shared" si="13"/>
        <v>9</v>
      </c>
    </row>
    <row r="4">
      <c r="A4" s="15">
        <v>2025.0</v>
      </c>
      <c r="B4" s="15" t="s">
        <v>72</v>
      </c>
      <c r="C4" s="7" t="s">
        <v>53</v>
      </c>
      <c r="D4" s="15" t="s">
        <v>73</v>
      </c>
      <c r="E4" s="16" t="s">
        <v>68</v>
      </c>
      <c r="F4" s="16">
        <v>25.0</v>
      </c>
      <c r="G4" s="16">
        <v>29.0</v>
      </c>
      <c r="H4" s="18">
        <f t="shared" si="1"/>
        <v>0.8620689655</v>
      </c>
      <c r="I4" s="16">
        <v>1.0</v>
      </c>
      <c r="J4" s="16">
        <v>1.0</v>
      </c>
      <c r="K4" s="21">
        <f t="shared" si="2"/>
        <v>0.875</v>
      </c>
      <c r="L4" s="16">
        <v>9.0</v>
      </c>
      <c r="M4" s="16">
        <v>9.0</v>
      </c>
      <c r="N4" s="21">
        <f t="shared" si="3"/>
        <v>0.875</v>
      </c>
      <c r="O4" s="16">
        <v>7.0</v>
      </c>
      <c r="P4" s="16">
        <v>8.0</v>
      </c>
      <c r="Q4" s="21">
        <f t="shared" si="4"/>
        <v>0.875</v>
      </c>
      <c r="R4" s="16">
        <v>7.0</v>
      </c>
      <c r="S4" s="16">
        <v>8.0</v>
      </c>
      <c r="T4" s="21">
        <f t="shared" si="5"/>
        <v>0.875</v>
      </c>
      <c r="U4" s="16">
        <v>1.0</v>
      </c>
      <c r="V4" s="16">
        <v>3.0</v>
      </c>
      <c r="W4" s="21">
        <f t="shared" si="6"/>
        <v>0.3333333333</v>
      </c>
      <c r="X4" s="16">
        <v>55.0</v>
      </c>
      <c r="Y4" s="16">
        <v>45.0</v>
      </c>
      <c r="Z4" s="16">
        <v>45.0</v>
      </c>
      <c r="AA4" s="13">
        <f t="shared" si="7"/>
        <v>1</v>
      </c>
      <c r="AB4" s="16">
        <v>120.0</v>
      </c>
      <c r="AC4" s="16">
        <v>1.9</v>
      </c>
      <c r="AD4" s="16">
        <v>9.0</v>
      </c>
      <c r="AE4" s="16" t="s">
        <v>17</v>
      </c>
      <c r="AF4" s="16" t="s">
        <v>71</v>
      </c>
      <c r="AG4" s="16" t="s">
        <v>61</v>
      </c>
      <c r="AH4" s="24">
        <f t="shared" si="8"/>
        <v>2</v>
      </c>
      <c r="AI4" s="24">
        <f t="shared" si="9"/>
        <v>1</v>
      </c>
      <c r="AJ4" s="24">
        <f t="shared" si="10"/>
        <v>1</v>
      </c>
      <c r="AK4" s="24">
        <f t="shared" si="11"/>
        <v>2</v>
      </c>
      <c r="AL4" s="24">
        <f t="shared" si="12"/>
        <v>2</v>
      </c>
      <c r="AM4" s="24">
        <f t="shared" si="13"/>
        <v>8</v>
      </c>
    </row>
    <row r="5">
      <c r="A5" s="15">
        <v>2024.0</v>
      </c>
      <c r="B5" s="15" t="s">
        <v>75</v>
      </c>
      <c r="C5" s="7" t="s">
        <v>53</v>
      </c>
      <c r="D5" s="15" t="s">
        <v>76</v>
      </c>
      <c r="E5" s="16" t="s">
        <v>55</v>
      </c>
      <c r="F5" s="16">
        <v>15.0</v>
      </c>
      <c r="G5" s="16">
        <v>16.0</v>
      </c>
      <c r="H5" s="18">
        <f t="shared" si="1"/>
        <v>0.9375</v>
      </c>
      <c r="I5" s="16">
        <v>0.0</v>
      </c>
      <c r="J5" s="16">
        <v>0.0</v>
      </c>
      <c r="K5" s="21" t="str">
        <f t="shared" si="2"/>
        <v/>
      </c>
      <c r="L5" s="16">
        <v>4.0</v>
      </c>
      <c r="M5" s="16">
        <v>4.0</v>
      </c>
      <c r="N5" s="21">
        <f t="shared" si="3"/>
        <v>1</v>
      </c>
      <c r="O5" s="16">
        <v>1.0</v>
      </c>
      <c r="P5" s="16">
        <v>1.0</v>
      </c>
      <c r="Q5" s="21">
        <f t="shared" si="4"/>
        <v>1</v>
      </c>
      <c r="R5" s="16">
        <v>4.0</v>
      </c>
      <c r="S5" s="16">
        <v>4.0</v>
      </c>
      <c r="T5" s="21">
        <f t="shared" si="5"/>
        <v>1</v>
      </c>
      <c r="U5" s="16">
        <v>1.0</v>
      </c>
      <c r="V5" s="16">
        <v>2.0</v>
      </c>
      <c r="W5" s="21">
        <f t="shared" si="6"/>
        <v>0.5</v>
      </c>
      <c r="X5" s="16">
        <v>50.0</v>
      </c>
      <c r="Y5" s="16">
        <v>26.0</v>
      </c>
      <c r="Z5" s="16">
        <v>27.0</v>
      </c>
      <c r="AA5" s="13">
        <f t="shared" si="7"/>
        <v>0.962962963</v>
      </c>
      <c r="AB5" s="16">
        <v>71.0</v>
      </c>
      <c r="AC5" s="16">
        <v>1.3</v>
      </c>
      <c r="AD5" s="16">
        <v>4.0</v>
      </c>
      <c r="AE5" s="16" t="s">
        <v>70</v>
      </c>
      <c r="AF5" s="16" t="s">
        <v>71</v>
      </c>
      <c r="AG5" s="16" t="s">
        <v>61</v>
      </c>
      <c r="AH5" s="24">
        <f t="shared" si="8"/>
        <v>1</v>
      </c>
      <c r="AI5" s="24">
        <f t="shared" si="9"/>
        <v>2</v>
      </c>
      <c r="AJ5" s="24">
        <f t="shared" si="10"/>
        <v>1</v>
      </c>
      <c r="AK5" s="24">
        <f t="shared" si="11"/>
        <v>1</v>
      </c>
      <c r="AL5" s="24">
        <f t="shared" si="12"/>
        <v>1</v>
      </c>
      <c r="AM5" s="24">
        <f t="shared" si="13"/>
        <v>6</v>
      </c>
    </row>
    <row r="6">
      <c r="A6" s="15">
        <v>2024.0</v>
      </c>
      <c r="B6" s="15" t="s">
        <v>78</v>
      </c>
      <c r="C6" s="7" t="s">
        <v>66</v>
      </c>
      <c r="D6" s="15" t="s">
        <v>79</v>
      </c>
      <c r="E6" s="16" t="s">
        <v>55</v>
      </c>
      <c r="F6" s="16">
        <v>28.0</v>
      </c>
      <c r="G6" s="16">
        <v>31.0</v>
      </c>
      <c r="H6" s="18">
        <f t="shared" si="1"/>
        <v>0.9032258065</v>
      </c>
      <c r="I6" s="16">
        <v>1.0</v>
      </c>
      <c r="J6" s="16">
        <v>1.0</v>
      </c>
      <c r="K6" s="21">
        <f t="shared" si="2"/>
        <v>1</v>
      </c>
      <c r="L6" s="16">
        <v>8.0</v>
      </c>
      <c r="M6" s="16">
        <v>8.0</v>
      </c>
      <c r="N6" s="21">
        <f t="shared" si="3"/>
        <v>1</v>
      </c>
      <c r="O6" s="16">
        <v>9.0</v>
      </c>
      <c r="P6" s="16">
        <v>9.0</v>
      </c>
      <c r="Q6" s="21">
        <f t="shared" si="4"/>
        <v>1</v>
      </c>
      <c r="R6" s="16">
        <v>8.0</v>
      </c>
      <c r="S6" s="16">
        <v>8.0</v>
      </c>
      <c r="T6" s="21">
        <f t="shared" si="5"/>
        <v>1</v>
      </c>
      <c r="U6" s="16">
        <v>2.0</v>
      </c>
      <c r="V6" s="16">
        <v>5.0</v>
      </c>
      <c r="W6" s="21">
        <f t="shared" si="6"/>
        <v>0.4</v>
      </c>
      <c r="X6" s="16">
        <v>53.0</v>
      </c>
      <c r="Y6" s="16">
        <v>50.0</v>
      </c>
      <c r="Z6" s="16">
        <v>51.0</v>
      </c>
      <c r="AA6" s="13">
        <f t="shared" si="7"/>
        <v>0.9803921569</v>
      </c>
      <c r="AB6" s="16">
        <v>130.0</v>
      </c>
      <c r="AC6" s="16">
        <v>2.0</v>
      </c>
      <c r="AD6" s="16">
        <v>10.0</v>
      </c>
      <c r="AE6" s="16" t="s">
        <v>74</v>
      </c>
      <c r="AF6" s="16" t="s">
        <v>60</v>
      </c>
      <c r="AG6" s="16" t="s">
        <v>61</v>
      </c>
      <c r="AH6" s="24">
        <f t="shared" si="8"/>
        <v>2</v>
      </c>
      <c r="AI6" s="24">
        <f t="shared" si="9"/>
        <v>1</v>
      </c>
      <c r="AJ6" s="24">
        <f t="shared" si="10"/>
        <v>2</v>
      </c>
      <c r="AK6" s="24">
        <f t="shared" si="11"/>
        <v>1</v>
      </c>
      <c r="AL6" s="24">
        <f t="shared" si="12"/>
        <v>2</v>
      </c>
      <c r="AM6" s="24">
        <f t="shared" si="13"/>
        <v>8</v>
      </c>
    </row>
    <row r="7">
      <c r="A7" s="15">
        <v>2024.0</v>
      </c>
      <c r="B7" s="15" t="s">
        <v>81</v>
      </c>
      <c r="C7" s="7" t="s">
        <v>53</v>
      </c>
      <c r="D7" s="15" t="s">
        <v>82</v>
      </c>
      <c r="E7" s="16" t="s">
        <v>55</v>
      </c>
      <c r="F7" s="16">
        <v>13.0</v>
      </c>
      <c r="G7" s="16">
        <v>13.0</v>
      </c>
      <c r="H7" s="18">
        <f t="shared" si="1"/>
        <v>1</v>
      </c>
      <c r="I7" s="16">
        <v>0.0</v>
      </c>
      <c r="J7" s="16">
        <v>0.0</v>
      </c>
      <c r="K7" s="21" t="str">
        <f t="shared" si="2"/>
        <v/>
      </c>
      <c r="L7" s="16">
        <v>5.0</v>
      </c>
      <c r="M7" s="16">
        <v>5.0</v>
      </c>
      <c r="N7" s="21">
        <v>1.0</v>
      </c>
      <c r="O7" s="16">
        <v>3.0</v>
      </c>
      <c r="P7" s="16">
        <v>3.0</v>
      </c>
      <c r="Q7" s="21">
        <f t="shared" si="4"/>
        <v>1</v>
      </c>
      <c r="R7" s="16">
        <v>0.0</v>
      </c>
      <c r="S7" s="16">
        <v>0.0</v>
      </c>
      <c r="T7" s="21" t="str">
        <f t="shared" si="5"/>
        <v/>
      </c>
      <c r="U7" s="16">
        <v>5.0</v>
      </c>
      <c r="V7" s="16">
        <v>5.0</v>
      </c>
      <c r="W7" s="21">
        <f t="shared" si="6"/>
        <v>1</v>
      </c>
      <c r="X7" s="16">
        <v>59.0</v>
      </c>
      <c r="Y7" s="16">
        <v>14.0</v>
      </c>
      <c r="Z7" s="16">
        <v>14.0</v>
      </c>
      <c r="AA7" s="13">
        <f t="shared" si="7"/>
        <v>1</v>
      </c>
      <c r="AB7" s="16">
        <v>53.0</v>
      </c>
      <c r="AC7" s="16">
        <v>1.1</v>
      </c>
      <c r="AD7" s="16">
        <v>2.0</v>
      </c>
      <c r="AE7" s="16" t="s">
        <v>17</v>
      </c>
      <c r="AF7" s="16" t="s">
        <v>71</v>
      </c>
      <c r="AG7" s="16" t="s">
        <v>61</v>
      </c>
      <c r="AH7" s="24">
        <f t="shared" si="8"/>
        <v>0</v>
      </c>
      <c r="AI7" s="24">
        <f t="shared" si="9"/>
        <v>2</v>
      </c>
      <c r="AJ7" s="24">
        <f t="shared" si="10"/>
        <v>2</v>
      </c>
      <c r="AK7" s="24">
        <f t="shared" si="11"/>
        <v>2</v>
      </c>
      <c r="AL7" s="24">
        <f t="shared" si="12"/>
        <v>1</v>
      </c>
      <c r="AM7" s="24">
        <f t="shared" si="13"/>
        <v>7</v>
      </c>
    </row>
    <row r="8">
      <c r="A8" s="15">
        <v>2023.0</v>
      </c>
      <c r="B8" s="15" t="s">
        <v>85</v>
      </c>
      <c r="C8" s="7" t="s">
        <v>66</v>
      </c>
      <c r="D8" s="15" t="s">
        <v>86</v>
      </c>
      <c r="E8" s="16" t="s">
        <v>68</v>
      </c>
      <c r="F8" s="16">
        <v>27.0</v>
      </c>
      <c r="G8" s="16">
        <v>28.0</v>
      </c>
      <c r="H8" s="18">
        <f t="shared" si="1"/>
        <v>0.9642857143</v>
      </c>
      <c r="I8" s="16">
        <v>1.0</v>
      </c>
      <c r="J8" s="16">
        <v>1.0</v>
      </c>
      <c r="K8" s="21">
        <f t="shared" si="2"/>
        <v>0.9</v>
      </c>
      <c r="L8" s="16">
        <v>6.0</v>
      </c>
      <c r="M8" s="16">
        <v>6.0</v>
      </c>
      <c r="N8" s="21">
        <f t="shared" ref="N8:N71" si="14">IF(M8=0, "", R8/S8)</f>
        <v>0.9</v>
      </c>
      <c r="O8" s="16">
        <v>10.0</v>
      </c>
      <c r="P8" s="16">
        <v>10.0</v>
      </c>
      <c r="Q8" s="21">
        <f t="shared" si="4"/>
        <v>1</v>
      </c>
      <c r="R8" s="16">
        <v>9.0</v>
      </c>
      <c r="S8" s="16">
        <v>10.0</v>
      </c>
      <c r="T8" s="21">
        <f t="shared" si="5"/>
        <v>0.9</v>
      </c>
      <c r="U8" s="16">
        <v>1.0</v>
      </c>
      <c r="V8" s="16">
        <v>1.0</v>
      </c>
      <c r="W8" s="21">
        <f t="shared" si="6"/>
        <v>1</v>
      </c>
      <c r="X8" s="16">
        <v>52.0</v>
      </c>
      <c r="Y8" s="16">
        <v>35.0</v>
      </c>
      <c r="Z8" s="16">
        <v>37.0</v>
      </c>
      <c r="AA8" s="13">
        <f t="shared" si="7"/>
        <v>0.9459459459</v>
      </c>
      <c r="AB8" s="16">
        <v>116.0</v>
      </c>
      <c r="AC8" s="16">
        <v>1.9</v>
      </c>
      <c r="AD8" s="16">
        <v>10.0</v>
      </c>
      <c r="AE8" s="16" t="s">
        <v>64</v>
      </c>
      <c r="AF8" s="16" t="s">
        <v>60</v>
      </c>
      <c r="AG8" s="16" t="s">
        <v>61</v>
      </c>
      <c r="AH8" s="24">
        <f t="shared" si="8"/>
        <v>2</v>
      </c>
      <c r="AI8" s="24">
        <f t="shared" si="9"/>
        <v>2</v>
      </c>
      <c r="AJ8" s="24">
        <f t="shared" si="10"/>
        <v>1</v>
      </c>
      <c r="AK8" s="24">
        <f t="shared" si="11"/>
        <v>1</v>
      </c>
      <c r="AL8" s="24">
        <f t="shared" si="12"/>
        <v>2</v>
      </c>
      <c r="AM8" s="24">
        <f t="shared" si="13"/>
        <v>8</v>
      </c>
    </row>
    <row r="9">
      <c r="A9" s="15">
        <v>2023.0</v>
      </c>
      <c r="B9" s="15" t="s">
        <v>88</v>
      </c>
      <c r="C9" s="7" t="s">
        <v>53</v>
      </c>
      <c r="D9" s="15" t="s">
        <v>89</v>
      </c>
      <c r="E9" s="16" t="s">
        <v>55</v>
      </c>
      <c r="F9" s="16">
        <v>26.0</v>
      </c>
      <c r="G9" s="16">
        <v>29.0</v>
      </c>
      <c r="H9" s="18">
        <f t="shared" si="1"/>
        <v>0.8965517241</v>
      </c>
      <c r="I9" s="16">
        <v>0.0</v>
      </c>
      <c r="J9" s="16">
        <v>0.0</v>
      </c>
      <c r="K9" s="21" t="str">
        <f t="shared" si="2"/>
        <v/>
      </c>
      <c r="L9" s="16">
        <v>5.0</v>
      </c>
      <c r="M9" s="16">
        <v>5.0</v>
      </c>
      <c r="N9" s="21">
        <f t="shared" si="14"/>
        <v>0.8</v>
      </c>
      <c r="O9" s="16">
        <v>11.0</v>
      </c>
      <c r="P9" s="16">
        <v>11.0</v>
      </c>
      <c r="Q9" s="21">
        <f t="shared" si="4"/>
        <v>1</v>
      </c>
      <c r="R9" s="16">
        <v>8.0</v>
      </c>
      <c r="S9" s="16">
        <v>10.0</v>
      </c>
      <c r="T9" s="21">
        <f t="shared" si="5"/>
        <v>0.8</v>
      </c>
      <c r="U9" s="16">
        <v>2.0</v>
      </c>
      <c r="V9" s="16">
        <v>3.0</v>
      </c>
      <c r="W9" s="21">
        <f t="shared" si="6"/>
        <v>0.6666666667</v>
      </c>
      <c r="X9" s="16">
        <v>52.0</v>
      </c>
      <c r="Y9" s="16">
        <v>55.0</v>
      </c>
      <c r="Z9" s="16">
        <v>55.0</v>
      </c>
      <c r="AA9" s="13">
        <f t="shared" si="7"/>
        <v>1</v>
      </c>
      <c r="AB9" s="16">
        <v>133.0</v>
      </c>
      <c r="AC9" s="16">
        <v>1.9</v>
      </c>
      <c r="AD9" s="16">
        <v>9.0</v>
      </c>
      <c r="AE9" s="16" t="s">
        <v>59</v>
      </c>
      <c r="AF9" s="16" t="s">
        <v>60</v>
      </c>
      <c r="AG9" s="16" t="s">
        <v>61</v>
      </c>
      <c r="AH9" s="24">
        <f t="shared" si="8"/>
        <v>2</v>
      </c>
      <c r="AI9" s="24">
        <f t="shared" si="9"/>
        <v>1</v>
      </c>
      <c r="AJ9" s="24">
        <f t="shared" si="10"/>
        <v>2</v>
      </c>
      <c r="AK9" s="24">
        <f t="shared" si="11"/>
        <v>1</v>
      </c>
      <c r="AL9" s="24">
        <f t="shared" si="12"/>
        <v>2</v>
      </c>
      <c r="AM9" s="24">
        <f t="shared" si="13"/>
        <v>8</v>
      </c>
    </row>
    <row r="10">
      <c r="A10" s="15">
        <v>2023.0</v>
      </c>
      <c r="B10" s="15" t="s">
        <v>91</v>
      </c>
      <c r="C10" s="7" t="s">
        <v>53</v>
      </c>
      <c r="D10" s="15" t="s">
        <v>92</v>
      </c>
      <c r="E10" s="16" t="s">
        <v>55</v>
      </c>
      <c r="F10" s="16">
        <v>22.0</v>
      </c>
      <c r="G10" s="16">
        <v>25.0</v>
      </c>
      <c r="H10" s="18">
        <f t="shared" si="1"/>
        <v>0.88</v>
      </c>
      <c r="I10" s="16">
        <v>0.0</v>
      </c>
      <c r="J10" s="16">
        <v>0.0</v>
      </c>
      <c r="K10" s="21" t="str">
        <f t="shared" si="2"/>
        <v/>
      </c>
      <c r="L10" s="16">
        <v>3.0</v>
      </c>
      <c r="M10" s="16">
        <v>3.0</v>
      </c>
      <c r="N10" s="21">
        <f t="shared" si="14"/>
        <v>0.7</v>
      </c>
      <c r="O10" s="16">
        <v>7.0</v>
      </c>
      <c r="P10" s="16">
        <v>7.0</v>
      </c>
      <c r="Q10" s="21">
        <f t="shared" si="4"/>
        <v>1</v>
      </c>
      <c r="R10" s="16">
        <v>7.0</v>
      </c>
      <c r="S10" s="16">
        <v>10.0</v>
      </c>
      <c r="T10" s="21">
        <f t="shared" si="5"/>
        <v>0.7</v>
      </c>
      <c r="U10" s="16">
        <v>5.0</v>
      </c>
      <c r="V10" s="16">
        <v>5.0</v>
      </c>
      <c r="W10" s="21">
        <f t="shared" si="6"/>
        <v>1</v>
      </c>
      <c r="X10" s="16">
        <v>52.0</v>
      </c>
      <c r="Y10" s="16">
        <v>55.0</v>
      </c>
      <c r="Z10" s="16">
        <v>55.0</v>
      </c>
      <c r="AA10" s="13">
        <f t="shared" si="7"/>
        <v>1</v>
      </c>
      <c r="AB10" s="16">
        <v>121.0</v>
      </c>
      <c r="AC10" s="16">
        <v>1.6</v>
      </c>
      <c r="AD10" s="16">
        <v>11.0</v>
      </c>
      <c r="AE10" s="16" t="s">
        <v>70</v>
      </c>
      <c r="AF10" s="16" t="s">
        <v>71</v>
      </c>
      <c r="AG10" s="16" t="s">
        <v>61</v>
      </c>
      <c r="AH10" s="24">
        <f t="shared" si="8"/>
        <v>1</v>
      </c>
      <c r="AI10" s="24">
        <f t="shared" si="9"/>
        <v>1</v>
      </c>
      <c r="AJ10" s="24">
        <f t="shared" si="10"/>
        <v>2</v>
      </c>
      <c r="AK10" s="24">
        <f t="shared" si="11"/>
        <v>1</v>
      </c>
      <c r="AL10" s="24">
        <f t="shared" si="12"/>
        <v>1</v>
      </c>
      <c r="AM10" s="24">
        <f t="shared" si="13"/>
        <v>6</v>
      </c>
    </row>
    <row r="11">
      <c r="A11" s="15">
        <v>2022.0</v>
      </c>
      <c r="B11" s="15" t="s">
        <v>93</v>
      </c>
      <c r="C11" s="7" t="s">
        <v>66</v>
      </c>
      <c r="D11" s="15" t="s">
        <v>94</v>
      </c>
      <c r="E11" s="16" t="s">
        <v>55</v>
      </c>
      <c r="F11" s="16">
        <v>28.0</v>
      </c>
      <c r="G11" s="16">
        <v>29.0</v>
      </c>
      <c r="H11" s="18">
        <f t="shared" si="1"/>
        <v>0.9655172414</v>
      </c>
      <c r="I11" s="16">
        <v>1.0</v>
      </c>
      <c r="J11" s="16">
        <v>1.0</v>
      </c>
      <c r="K11" s="21">
        <f t="shared" si="2"/>
        <v>0.8888888889</v>
      </c>
      <c r="L11" s="16">
        <v>8.0</v>
      </c>
      <c r="M11" s="16">
        <v>8.0</v>
      </c>
      <c r="N11" s="21">
        <f t="shared" si="14"/>
        <v>0.8888888889</v>
      </c>
      <c r="O11" s="16">
        <v>9.0</v>
      </c>
      <c r="P11" s="16">
        <v>9.0</v>
      </c>
      <c r="Q11" s="21">
        <f t="shared" si="4"/>
        <v>1</v>
      </c>
      <c r="R11" s="16">
        <v>8.0</v>
      </c>
      <c r="S11" s="16">
        <v>9.0</v>
      </c>
      <c r="T11" s="21">
        <f t="shared" si="5"/>
        <v>0.8888888889</v>
      </c>
      <c r="U11" s="16">
        <v>2.0</v>
      </c>
      <c r="V11" s="16">
        <v>2.0</v>
      </c>
      <c r="W11" s="21">
        <f t="shared" si="6"/>
        <v>1</v>
      </c>
      <c r="X11" s="16">
        <v>53.0</v>
      </c>
      <c r="Y11" s="16">
        <v>30.0</v>
      </c>
      <c r="Z11" s="16">
        <v>30.0</v>
      </c>
      <c r="AA11" s="13">
        <f t="shared" si="7"/>
        <v>1</v>
      </c>
      <c r="AB11" s="16">
        <v>114.0</v>
      </c>
      <c r="AC11" s="16">
        <v>2.2</v>
      </c>
      <c r="AD11" s="16">
        <v>8.0</v>
      </c>
      <c r="AE11" s="16" t="s">
        <v>17</v>
      </c>
      <c r="AF11" s="16" t="s">
        <v>71</v>
      </c>
      <c r="AG11" s="16" t="s">
        <v>61</v>
      </c>
      <c r="AH11" s="24">
        <f t="shared" si="8"/>
        <v>2</v>
      </c>
      <c r="AI11" s="24">
        <f t="shared" si="9"/>
        <v>2</v>
      </c>
      <c r="AJ11" s="24">
        <f t="shared" si="10"/>
        <v>2</v>
      </c>
      <c r="AK11" s="24">
        <f t="shared" si="11"/>
        <v>1</v>
      </c>
      <c r="AL11" s="24">
        <f t="shared" si="12"/>
        <v>2</v>
      </c>
      <c r="AM11" s="24">
        <f t="shared" si="13"/>
        <v>9</v>
      </c>
    </row>
    <row r="12">
      <c r="A12" s="15">
        <v>2022.0</v>
      </c>
      <c r="B12" s="15" t="s">
        <v>96</v>
      </c>
      <c r="C12" s="7" t="s">
        <v>53</v>
      </c>
      <c r="D12" s="15" t="s">
        <v>97</v>
      </c>
      <c r="E12" s="16" t="s">
        <v>55</v>
      </c>
      <c r="F12" s="16">
        <v>29.0</v>
      </c>
      <c r="G12" s="16">
        <v>35.0</v>
      </c>
      <c r="H12" s="18">
        <f t="shared" si="1"/>
        <v>0.8285714286</v>
      </c>
      <c r="I12" s="16">
        <v>0.0</v>
      </c>
      <c r="J12" s="16">
        <v>0.0</v>
      </c>
      <c r="K12" s="21" t="str">
        <f t="shared" si="2"/>
        <v/>
      </c>
      <c r="L12" s="16">
        <v>9.0</v>
      </c>
      <c r="M12" s="16">
        <v>10.0</v>
      </c>
      <c r="N12" s="21">
        <f t="shared" si="14"/>
        <v>0.875</v>
      </c>
      <c r="O12" s="16">
        <v>10.0</v>
      </c>
      <c r="P12" s="16">
        <v>10.0</v>
      </c>
      <c r="Q12" s="21">
        <f t="shared" si="4"/>
        <v>1</v>
      </c>
      <c r="R12" s="16">
        <v>7.0</v>
      </c>
      <c r="S12" s="16">
        <v>8.0</v>
      </c>
      <c r="T12" s="21">
        <f t="shared" si="5"/>
        <v>0.875</v>
      </c>
      <c r="U12" s="16">
        <v>3.0</v>
      </c>
      <c r="V12" s="16">
        <v>7.0</v>
      </c>
      <c r="W12" s="21">
        <f t="shared" si="6"/>
        <v>0.4285714286</v>
      </c>
      <c r="X12" s="16">
        <v>59.0</v>
      </c>
      <c r="Y12" s="16">
        <v>60.0</v>
      </c>
      <c r="Z12" s="16">
        <v>60.0</v>
      </c>
      <c r="AA12" s="13">
        <f t="shared" si="7"/>
        <v>1</v>
      </c>
      <c r="AB12" s="16">
        <v>147.0</v>
      </c>
      <c r="AC12" s="16">
        <v>2.1</v>
      </c>
      <c r="AD12" s="16">
        <v>12.0</v>
      </c>
      <c r="AE12" s="16" t="s">
        <v>58</v>
      </c>
      <c r="AF12" s="16" t="s">
        <v>71</v>
      </c>
      <c r="AG12" s="16" t="s">
        <v>61</v>
      </c>
      <c r="AH12" s="24">
        <f t="shared" si="8"/>
        <v>2</v>
      </c>
      <c r="AI12" s="24">
        <f t="shared" si="9"/>
        <v>1</v>
      </c>
      <c r="AJ12" s="24">
        <f t="shared" si="10"/>
        <v>2</v>
      </c>
      <c r="AK12" s="24">
        <f t="shared" si="11"/>
        <v>2</v>
      </c>
      <c r="AL12" s="24">
        <f t="shared" si="12"/>
        <v>2</v>
      </c>
      <c r="AM12" s="24">
        <f t="shared" si="13"/>
        <v>9</v>
      </c>
    </row>
    <row r="13">
      <c r="A13" s="15">
        <v>2022.0</v>
      </c>
      <c r="B13" s="15" t="s">
        <v>99</v>
      </c>
      <c r="C13" s="7" t="s">
        <v>53</v>
      </c>
      <c r="D13" s="15" t="s">
        <v>100</v>
      </c>
      <c r="E13" s="16" t="s">
        <v>68</v>
      </c>
      <c r="F13" s="16">
        <v>18.0</v>
      </c>
      <c r="G13" s="16">
        <v>18.0</v>
      </c>
      <c r="H13" s="18">
        <f t="shared" si="1"/>
        <v>1</v>
      </c>
      <c r="I13" s="16">
        <v>0.0</v>
      </c>
      <c r="J13" s="16">
        <v>0.0</v>
      </c>
      <c r="K13" s="21" t="str">
        <f t="shared" si="2"/>
        <v/>
      </c>
      <c r="L13" s="16">
        <v>2.0</v>
      </c>
      <c r="M13" s="16">
        <v>2.0</v>
      </c>
      <c r="N13" s="21">
        <f t="shared" si="14"/>
        <v>1</v>
      </c>
      <c r="O13" s="16">
        <v>3.0</v>
      </c>
      <c r="P13" s="16">
        <v>3.0</v>
      </c>
      <c r="Q13" s="21">
        <f t="shared" si="4"/>
        <v>1</v>
      </c>
      <c r="R13" s="16">
        <v>10.0</v>
      </c>
      <c r="S13" s="16">
        <v>10.0</v>
      </c>
      <c r="T13" s="21">
        <f t="shared" si="5"/>
        <v>1</v>
      </c>
      <c r="U13" s="16">
        <v>3.0</v>
      </c>
      <c r="V13" s="16">
        <v>3.0</v>
      </c>
      <c r="W13" s="21">
        <f t="shared" si="6"/>
        <v>1</v>
      </c>
      <c r="X13" s="16">
        <v>61.0</v>
      </c>
      <c r="Y13" s="16">
        <v>24.0</v>
      </c>
      <c r="Z13" s="16">
        <v>25.0</v>
      </c>
      <c r="AA13" s="13">
        <f t="shared" si="7"/>
        <v>0.96</v>
      </c>
      <c r="AB13" s="16">
        <v>90.0</v>
      </c>
      <c r="AC13" s="16">
        <v>1.5</v>
      </c>
      <c r="AD13" s="16">
        <v>3.0</v>
      </c>
      <c r="AE13" s="16" t="s">
        <v>69</v>
      </c>
      <c r="AF13" s="16" t="s">
        <v>71</v>
      </c>
      <c r="AG13" s="16" t="s">
        <v>61</v>
      </c>
      <c r="AH13" s="24">
        <f t="shared" si="8"/>
        <v>1</v>
      </c>
      <c r="AI13" s="24">
        <f t="shared" si="9"/>
        <v>2</v>
      </c>
      <c r="AJ13" s="24">
        <f t="shared" si="10"/>
        <v>2</v>
      </c>
      <c r="AK13" s="24">
        <f t="shared" si="11"/>
        <v>2</v>
      </c>
      <c r="AL13" s="24">
        <f t="shared" si="12"/>
        <v>1</v>
      </c>
      <c r="AM13" s="24">
        <f t="shared" si="13"/>
        <v>8</v>
      </c>
    </row>
    <row r="14">
      <c r="A14" s="15">
        <v>2021.0</v>
      </c>
      <c r="B14" s="15" t="s">
        <v>101</v>
      </c>
      <c r="C14" s="7" t="s">
        <v>53</v>
      </c>
      <c r="D14" s="15" t="s">
        <v>102</v>
      </c>
      <c r="E14" s="16" t="s">
        <v>68</v>
      </c>
      <c r="F14" s="16">
        <v>20.0</v>
      </c>
      <c r="G14" s="16">
        <v>21.0</v>
      </c>
      <c r="H14" s="18">
        <f t="shared" si="1"/>
        <v>0.9523809524</v>
      </c>
      <c r="I14" s="16">
        <v>1.0</v>
      </c>
      <c r="J14" s="16">
        <v>1.0</v>
      </c>
      <c r="K14" s="21">
        <f t="shared" si="2"/>
        <v>1</v>
      </c>
      <c r="L14" s="16">
        <v>6.0</v>
      </c>
      <c r="M14" s="16">
        <v>6.0</v>
      </c>
      <c r="N14" s="21">
        <f t="shared" si="14"/>
        <v>1</v>
      </c>
      <c r="O14" s="16">
        <v>9.0</v>
      </c>
      <c r="P14" s="16">
        <v>10.0</v>
      </c>
      <c r="Q14" s="21">
        <f t="shared" si="4"/>
        <v>0.9</v>
      </c>
      <c r="R14" s="16">
        <v>4.0</v>
      </c>
      <c r="S14" s="16">
        <v>4.0</v>
      </c>
      <c r="T14" s="21">
        <f t="shared" si="5"/>
        <v>1</v>
      </c>
      <c r="U14" s="16">
        <v>0.0</v>
      </c>
      <c r="V14" s="16">
        <v>0.0</v>
      </c>
      <c r="W14" s="21" t="str">
        <f t="shared" si="6"/>
        <v/>
      </c>
      <c r="X14" s="16">
        <v>46.0</v>
      </c>
      <c r="Y14" s="16">
        <v>74.0</v>
      </c>
      <c r="Z14" s="16">
        <v>74.0</v>
      </c>
      <c r="AA14" s="13">
        <f t="shared" si="7"/>
        <v>1</v>
      </c>
      <c r="AB14" s="16">
        <v>125.0</v>
      </c>
      <c r="AC14" s="16">
        <v>1.5</v>
      </c>
      <c r="AD14" s="16">
        <v>10.0</v>
      </c>
      <c r="AE14" s="16" t="s">
        <v>58</v>
      </c>
      <c r="AF14" s="16" t="s">
        <v>71</v>
      </c>
      <c r="AG14" s="16" t="s">
        <v>61</v>
      </c>
      <c r="AH14" s="24">
        <f t="shared" si="8"/>
        <v>1</v>
      </c>
      <c r="AI14" s="24">
        <f t="shared" si="9"/>
        <v>2</v>
      </c>
      <c r="AJ14" s="24">
        <f t="shared" si="10"/>
        <v>0</v>
      </c>
      <c r="AK14" s="24">
        <f t="shared" si="11"/>
        <v>0</v>
      </c>
      <c r="AL14" s="24">
        <f t="shared" si="12"/>
        <v>1</v>
      </c>
      <c r="AM14" s="24">
        <f t="shared" si="13"/>
        <v>4</v>
      </c>
    </row>
    <row r="15">
      <c r="A15" s="15">
        <v>2021.0</v>
      </c>
      <c r="B15" s="15" t="s">
        <v>96</v>
      </c>
      <c r="C15" s="7" t="s">
        <v>66</v>
      </c>
      <c r="D15" s="15" t="s">
        <v>97</v>
      </c>
      <c r="E15" s="16" t="s">
        <v>68</v>
      </c>
      <c r="F15" s="16">
        <v>23.0</v>
      </c>
      <c r="G15" s="16">
        <v>25.0</v>
      </c>
      <c r="H15" s="18">
        <f t="shared" si="1"/>
        <v>0.92</v>
      </c>
      <c r="I15" s="16">
        <v>0.0</v>
      </c>
      <c r="J15" s="16">
        <v>0.0</v>
      </c>
      <c r="K15" s="21" t="str">
        <f t="shared" si="2"/>
        <v/>
      </c>
      <c r="L15" s="16">
        <v>6.0</v>
      </c>
      <c r="M15" s="16">
        <v>6.0</v>
      </c>
      <c r="N15" s="21">
        <f t="shared" si="14"/>
        <v>0.6</v>
      </c>
      <c r="O15" s="16">
        <v>13.0</v>
      </c>
      <c r="P15" s="16">
        <v>13.0</v>
      </c>
      <c r="Q15" s="21">
        <f t="shared" si="4"/>
        <v>1</v>
      </c>
      <c r="R15" s="16">
        <v>3.0</v>
      </c>
      <c r="S15" s="16">
        <v>5.0</v>
      </c>
      <c r="T15" s="21">
        <f t="shared" si="5"/>
        <v>0.6</v>
      </c>
      <c r="U15" s="16">
        <v>1.0</v>
      </c>
      <c r="V15" s="16">
        <v>1.0</v>
      </c>
      <c r="W15" s="21">
        <f t="shared" si="6"/>
        <v>1</v>
      </c>
      <c r="X15" s="16">
        <v>52.0</v>
      </c>
      <c r="Y15" s="16">
        <v>56.0</v>
      </c>
      <c r="Z15" s="16">
        <v>56.0</v>
      </c>
      <c r="AA15" s="13">
        <f t="shared" si="7"/>
        <v>1</v>
      </c>
      <c r="AB15" s="16">
        <v>125.0</v>
      </c>
      <c r="AC15" s="16">
        <v>1.6</v>
      </c>
      <c r="AD15" s="16">
        <v>11.0</v>
      </c>
      <c r="AE15" s="16" t="s">
        <v>58</v>
      </c>
      <c r="AF15" s="16" t="s">
        <v>71</v>
      </c>
      <c r="AG15" s="16" t="s">
        <v>61</v>
      </c>
      <c r="AH15" s="24">
        <f t="shared" si="8"/>
        <v>1</v>
      </c>
      <c r="AI15" s="24">
        <f t="shared" si="9"/>
        <v>2</v>
      </c>
      <c r="AJ15" s="24">
        <f t="shared" si="10"/>
        <v>1</v>
      </c>
      <c r="AK15" s="24">
        <f t="shared" si="11"/>
        <v>1</v>
      </c>
      <c r="AL15" s="24">
        <f t="shared" si="12"/>
        <v>1</v>
      </c>
      <c r="AM15" s="24">
        <f t="shared" si="13"/>
        <v>6</v>
      </c>
    </row>
    <row r="16">
      <c r="A16" s="15">
        <v>2021.0</v>
      </c>
      <c r="B16" s="15" t="s">
        <v>65</v>
      </c>
      <c r="C16" s="7" t="s">
        <v>53</v>
      </c>
      <c r="D16" s="15" t="s">
        <v>107</v>
      </c>
      <c r="E16" s="16" t="s">
        <v>55</v>
      </c>
      <c r="F16" s="16">
        <v>20.0</v>
      </c>
      <c r="G16" s="16">
        <v>26.0</v>
      </c>
      <c r="H16" s="18">
        <f t="shared" si="1"/>
        <v>0.7692307692</v>
      </c>
      <c r="I16" s="16">
        <v>0.0</v>
      </c>
      <c r="J16" s="16">
        <v>0.0</v>
      </c>
      <c r="K16" s="21" t="str">
        <f t="shared" si="2"/>
        <v/>
      </c>
      <c r="L16" s="16">
        <v>8.0</v>
      </c>
      <c r="M16" s="16">
        <v>9.0</v>
      </c>
      <c r="N16" s="21">
        <f t="shared" si="14"/>
        <v>0.6666666667</v>
      </c>
      <c r="O16" s="16">
        <v>3.0</v>
      </c>
      <c r="P16" s="16">
        <v>4.0</v>
      </c>
      <c r="Q16" s="21">
        <f t="shared" si="4"/>
        <v>0.75</v>
      </c>
      <c r="R16" s="16">
        <v>4.0</v>
      </c>
      <c r="S16" s="16">
        <v>6.0</v>
      </c>
      <c r="T16" s="21">
        <f t="shared" si="5"/>
        <v>0.6666666667</v>
      </c>
      <c r="U16" s="16">
        <v>5.0</v>
      </c>
      <c r="V16" s="16">
        <v>7.0</v>
      </c>
      <c r="W16" s="21">
        <f t="shared" si="6"/>
        <v>0.7142857143</v>
      </c>
      <c r="X16" s="16">
        <v>56.0</v>
      </c>
      <c r="Y16" s="16">
        <v>57.0</v>
      </c>
      <c r="Z16" s="16">
        <v>58.0</v>
      </c>
      <c r="AA16" s="13">
        <f t="shared" si="7"/>
        <v>0.9827586207</v>
      </c>
      <c r="AB16" s="16">
        <v>117.0</v>
      </c>
      <c r="AC16" s="16">
        <v>1.5</v>
      </c>
      <c r="AD16" s="16">
        <v>10.0</v>
      </c>
      <c r="AE16" s="16" t="s">
        <v>56</v>
      </c>
      <c r="AF16" s="16" t="s">
        <v>71</v>
      </c>
      <c r="AG16" s="16" t="s">
        <v>61</v>
      </c>
      <c r="AH16" s="24">
        <f t="shared" si="8"/>
        <v>1</v>
      </c>
      <c r="AI16" s="24">
        <f t="shared" si="9"/>
        <v>0</v>
      </c>
      <c r="AJ16" s="24">
        <f t="shared" si="10"/>
        <v>2</v>
      </c>
      <c r="AK16" s="24">
        <f t="shared" si="11"/>
        <v>2</v>
      </c>
      <c r="AL16" s="24">
        <f t="shared" si="12"/>
        <v>1</v>
      </c>
      <c r="AM16" s="24">
        <f t="shared" si="13"/>
        <v>6</v>
      </c>
    </row>
    <row r="17">
      <c r="A17" s="15">
        <v>2020.0</v>
      </c>
      <c r="B17" s="15" t="s">
        <v>91</v>
      </c>
      <c r="C17" s="7" t="s">
        <v>53</v>
      </c>
      <c r="D17" s="15" t="s">
        <v>92</v>
      </c>
      <c r="E17" s="16" t="s">
        <v>109</v>
      </c>
      <c r="F17" s="16">
        <v>14.0</v>
      </c>
      <c r="G17" s="16">
        <v>14.0</v>
      </c>
      <c r="H17" s="18">
        <f t="shared" si="1"/>
        <v>1</v>
      </c>
      <c r="I17" s="16">
        <v>0.0</v>
      </c>
      <c r="J17" s="16">
        <v>0.0</v>
      </c>
      <c r="K17" s="21" t="str">
        <f t="shared" si="2"/>
        <v/>
      </c>
      <c r="L17" s="16">
        <v>5.0</v>
      </c>
      <c r="M17" s="16">
        <v>5.0</v>
      </c>
      <c r="N17" s="21">
        <f t="shared" si="14"/>
        <v>1</v>
      </c>
      <c r="O17" s="16">
        <v>5.0</v>
      </c>
      <c r="P17" s="16">
        <v>5.0</v>
      </c>
      <c r="Q17" s="21">
        <f t="shared" si="4"/>
        <v>1</v>
      </c>
      <c r="R17" s="16">
        <v>3.0</v>
      </c>
      <c r="S17" s="16">
        <v>3.0</v>
      </c>
      <c r="T17" s="21">
        <f t="shared" si="5"/>
        <v>1</v>
      </c>
      <c r="U17" s="16">
        <v>1.0</v>
      </c>
      <c r="V17" s="16">
        <v>1.0</v>
      </c>
      <c r="W17" s="21">
        <f t="shared" si="6"/>
        <v>1</v>
      </c>
      <c r="X17" s="16">
        <v>52.0</v>
      </c>
      <c r="Y17" s="16">
        <v>84.0</v>
      </c>
      <c r="Z17" s="16">
        <v>84.0</v>
      </c>
      <c r="AA17" s="13">
        <f t="shared" si="7"/>
        <v>1</v>
      </c>
      <c r="AB17" s="16">
        <v>126.0</v>
      </c>
      <c r="AC17" s="16">
        <v>1.1</v>
      </c>
      <c r="AD17" s="16">
        <v>13.0</v>
      </c>
      <c r="AE17" s="16" t="s">
        <v>70</v>
      </c>
      <c r="AF17" s="16" t="s">
        <v>71</v>
      </c>
      <c r="AG17" s="16" t="s">
        <v>61</v>
      </c>
      <c r="AH17" s="24">
        <f t="shared" si="8"/>
        <v>0</v>
      </c>
      <c r="AI17" s="24">
        <f t="shared" si="9"/>
        <v>2</v>
      </c>
      <c r="AJ17" s="24">
        <f t="shared" si="10"/>
        <v>1</v>
      </c>
      <c r="AK17" s="24">
        <f t="shared" si="11"/>
        <v>1</v>
      </c>
      <c r="AL17" s="24">
        <f t="shared" si="12"/>
        <v>1</v>
      </c>
      <c r="AM17" s="24">
        <f t="shared" si="13"/>
        <v>5</v>
      </c>
    </row>
    <row r="18">
      <c r="A18" s="15">
        <v>2020.0</v>
      </c>
      <c r="B18" s="15" t="s">
        <v>110</v>
      </c>
      <c r="C18" s="7" t="s">
        <v>53</v>
      </c>
      <c r="D18" s="15" t="s">
        <v>112</v>
      </c>
      <c r="E18" s="16" t="s">
        <v>109</v>
      </c>
      <c r="F18" s="16">
        <v>13.0</v>
      </c>
      <c r="G18" s="16">
        <v>13.0</v>
      </c>
      <c r="H18" s="18">
        <f t="shared" si="1"/>
        <v>1</v>
      </c>
      <c r="I18" s="16">
        <v>0.0</v>
      </c>
      <c r="J18" s="16">
        <v>0.0</v>
      </c>
      <c r="K18" s="21" t="str">
        <f t="shared" si="2"/>
        <v/>
      </c>
      <c r="L18" s="16">
        <v>5.0</v>
      </c>
      <c r="M18" s="16">
        <v>5.0</v>
      </c>
      <c r="N18" s="21">
        <f t="shared" si="14"/>
        <v>1</v>
      </c>
      <c r="O18" s="16">
        <v>1.0</v>
      </c>
      <c r="P18" s="16">
        <v>1.0</v>
      </c>
      <c r="Q18" s="21">
        <f t="shared" si="4"/>
        <v>1</v>
      </c>
      <c r="R18" s="16">
        <v>4.0</v>
      </c>
      <c r="S18" s="16">
        <v>4.0</v>
      </c>
      <c r="T18" s="21">
        <f t="shared" si="5"/>
        <v>1</v>
      </c>
      <c r="U18" s="16">
        <v>3.0</v>
      </c>
      <c r="V18" s="16">
        <v>3.0</v>
      </c>
      <c r="W18" s="21">
        <f t="shared" si="6"/>
        <v>1</v>
      </c>
      <c r="X18" s="16">
        <v>54.0</v>
      </c>
      <c r="Y18" s="16">
        <v>60.0</v>
      </c>
      <c r="Z18" s="16">
        <v>62.0</v>
      </c>
      <c r="AA18" s="13">
        <f t="shared" si="7"/>
        <v>0.9677419355</v>
      </c>
      <c r="AB18" s="16">
        <v>99.0</v>
      </c>
      <c r="AC18" s="16">
        <v>1.2</v>
      </c>
      <c r="AD18" s="16">
        <v>10.0</v>
      </c>
      <c r="AE18" s="16" t="s">
        <v>63</v>
      </c>
      <c r="AF18" s="16" t="s">
        <v>60</v>
      </c>
      <c r="AG18" s="16" t="s">
        <v>61</v>
      </c>
      <c r="AH18" s="24">
        <f t="shared" si="8"/>
        <v>0</v>
      </c>
      <c r="AI18" s="24">
        <f t="shared" si="9"/>
        <v>2</v>
      </c>
      <c r="AJ18" s="24">
        <f t="shared" si="10"/>
        <v>2</v>
      </c>
      <c r="AK18" s="24">
        <f t="shared" si="11"/>
        <v>1</v>
      </c>
      <c r="AL18" s="24">
        <f t="shared" si="12"/>
        <v>1</v>
      </c>
      <c r="AM18" s="24">
        <f t="shared" si="13"/>
        <v>6</v>
      </c>
    </row>
    <row r="19">
      <c r="A19" s="15">
        <v>2020.0</v>
      </c>
      <c r="B19" s="15" t="s">
        <v>114</v>
      </c>
      <c r="C19" s="7" t="s">
        <v>66</v>
      </c>
      <c r="D19" s="15" t="s">
        <v>115</v>
      </c>
      <c r="E19" s="16" t="s">
        <v>55</v>
      </c>
      <c r="F19" s="16">
        <v>20.0</v>
      </c>
      <c r="G19" s="16">
        <v>22.0</v>
      </c>
      <c r="H19" s="18">
        <f t="shared" si="1"/>
        <v>0.9090909091</v>
      </c>
      <c r="I19" s="16">
        <v>0.0</v>
      </c>
      <c r="J19" s="16">
        <v>0.0</v>
      </c>
      <c r="K19" s="21" t="str">
        <f t="shared" si="2"/>
        <v/>
      </c>
      <c r="L19" s="16">
        <v>5.0</v>
      </c>
      <c r="M19" s="16">
        <v>5.0</v>
      </c>
      <c r="N19" s="21">
        <f t="shared" si="14"/>
        <v>0.7777777778</v>
      </c>
      <c r="O19" s="16">
        <v>6.0</v>
      </c>
      <c r="P19" s="16">
        <v>6.0</v>
      </c>
      <c r="Q19" s="21">
        <f t="shared" si="4"/>
        <v>1</v>
      </c>
      <c r="R19" s="16">
        <v>7.0</v>
      </c>
      <c r="S19" s="16">
        <v>9.0</v>
      </c>
      <c r="T19" s="21">
        <f t="shared" si="5"/>
        <v>0.7777777778</v>
      </c>
      <c r="U19" s="16">
        <v>2.0</v>
      </c>
      <c r="V19" s="16">
        <v>2.0</v>
      </c>
      <c r="W19" s="21">
        <f t="shared" si="6"/>
        <v>1</v>
      </c>
      <c r="X19" s="16">
        <v>57.0</v>
      </c>
      <c r="Y19" s="16">
        <v>37.0</v>
      </c>
      <c r="Z19" s="16">
        <v>37.0</v>
      </c>
      <c r="AA19" s="13">
        <f t="shared" si="7"/>
        <v>1</v>
      </c>
      <c r="AB19" s="16">
        <v>97.0</v>
      </c>
      <c r="AC19" s="16">
        <v>1.8</v>
      </c>
      <c r="AD19" s="16">
        <v>8.0</v>
      </c>
      <c r="AE19" s="16" t="s">
        <v>17</v>
      </c>
      <c r="AF19" s="16" t="s">
        <v>71</v>
      </c>
      <c r="AG19" s="16" t="s">
        <v>61</v>
      </c>
      <c r="AH19" s="24">
        <f t="shared" si="8"/>
        <v>1</v>
      </c>
      <c r="AI19" s="24">
        <f t="shared" si="9"/>
        <v>1</v>
      </c>
      <c r="AJ19" s="24">
        <f t="shared" si="10"/>
        <v>2</v>
      </c>
      <c r="AK19" s="24">
        <f t="shared" si="11"/>
        <v>2</v>
      </c>
      <c r="AL19" s="24">
        <f t="shared" si="12"/>
        <v>2</v>
      </c>
      <c r="AM19" s="24">
        <f t="shared" si="13"/>
        <v>8</v>
      </c>
    </row>
    <row r="20">
      <c r="A20" s="15">
        <v>2019.0</v>
      </c>
      <c r="B20" s="15" t="s">
        <v>123</v>
      </c>
      <c r="C20" s="7" t="s">
        <v>53</v>
      </c>
      <c r="D20" s="15" t="s">
        <v>124</v>
      </c>
      <c r="E20" s="16" t="s">
        <v>68</v>
      </c>
      <c r="F20" s="16">
        <v>29.0</v>
      </c>
      <c r="G20" s="16">
        <v>34.0</v>
      </c>
      <c r="H20" s="18">
        <f t="shared" si="1"/>
        <v>0.8529411765</v>
      </c>
      <c r="I20" s="16">
        <v>1.0</v>
      </c>
      <c r="J20" s="16">
        <v>1.0</v>
      </c>
      <c r="K20" s="21">
        <f t="shared" si="2"/>
        <v>0.7777777778</v>
      </c>
      <c r="L20" s="16">
        <v>10.0</v>
      </c>
      <c r="M20" s="16">
        <v>10.0</v>
      </c>
      <c r="N20" s="21">
        <f t="shared" si="14"/>
        <v>0.7777777778</v>
      </c>
      <c r="O20" s="16">
        <v>4.0</v>
      </c>
      <c r="P20" s="16">
        <v>5.0</v>
      </c>
      <c r="Q20" s="21">
        <f t="shared" si="4"/>
        <v>0.8</v>
      </c>
      <c r="R20" s="16">
        <v>14.0</v>
      </c>
      <c r="S20" s="16">
        <v>18.0</v>
      </c>
      <c r="T20" s="21">
        <f t="shared" si="5"/>
        <v>0.7777777778</v>
      </c>
      <c r="U20" s="16">
        <v>0.0</v>
      </c>
      <c r="V20" s="16">
        <v>0.0</v>
      </c>
      <c r="W20" s="21" t="str">
        <f t="shared" si="6"/>
        <v/>
      </c>
      <c r="X20" s="16">
        <v>49.0</v>
      </c>
      <c r="Y20" s="16">
        <v>32.0</v>
      </c>
      <c r="Z20" s="16">
        <v>32.0</v>
      </c>
      <c r="AA20" s="13">
        <f t="shared" si="7"/>
        <v>1</v>
      </c>
      <c r="AB20" s="16">
        <v>119.0</v>
      </c>
      <c r="AC20" s="16">
        <v>2.2</v>
      </c>
      <c r="AD20" s="16">
        <v>10.0</v>
      </c>
      <c r="AE20" s="16" t="s">
        <v>58</v>
      </c>
      <c r="AF20" s="16" t="s">
        <v>71</v>
      </c>
      <c r="AG20" s="16" t="s">
        <v>61</v>
      </c>
      <c r="AH20" s="24">
        <f t="shared" si="8"/>
        <v>2</v>
      </c>
      <c r="AI20" s="24">
        <f t="shared" si="9"/>
        <v>1</v>
      </c>
      <c r="AJ20" s="24">
        <f t="shared" si="10"/>
        <v>0</v>
      </c>
      <c r="AK20" s="24">
        <f t="shared" si="11"/>
        <v>1</v>
      </c>
      <c r="AL20" s="24">
        <f t="shared" si="12"/>
        <v>2</v>
      </c>
      <c r="AM20" s="24">
        <f t="shared" si="13"/>
        <v>6</v>
      </c>
    </row>
    <row r="21">
      <c r="A21" s="15">
        <v>2019.0</v>
      </c>
      <c r="B21" s="15" t="s">
        <v>128</v>
      </c>
      <c r="C21" s="7" t="s">
        <v>66</v>
      </c>
      <c r="D21" s="15" t="s">
        <v>129</v>
      </c>
      <c r="E21" s="16" t="s">
        <v>55</v>
      </c>
      <c r="F21" s="16">
        <v>27.0</v>
      </c>
      <c r="G21" s="16">
        <v>33.0</v>
      </c>
      <c r="H21" s="18">
        <f t="shared" si="1"/>
        <v>0.8181818182</v>
      </c>
      <c r="I21" s="16">
        <v>0.0</v>
      </c>
      <c r="J21" s="16">
        <v>0.0</v>
      </c>
      <c r="K21" s="21" t="str">
        <f t="shared" si="2"/>
        <v/>
      </c>
      <c r="L21" s="16">
        <v>6.0</v>
      </c>
      <c r="M21" s="16">
        <v>6.0</v>
      </c>
      <c r="N21" s="21">
        <f t="shared" si="14"/>
        <v>0.7272727273</v>
      </c>
      <c r="O21" s="16">
        <v>10.0</v>
      </c>
      <c r="P21" s="16">
        <v>11.0</v>
      </c>
      <c r="Q21" s="21">
        <f t="shared" si="4"/>
        <v>0.9090909091</v>
      </c>
      <c r="R21" s="16">
        <v>8.0</v>
      </c>
      <c r="S21" s="16">
        <v>11.0</v>
      </c>
      <c r="T21" s="21">
        <f t="shared" si="5"/>
        <v>0.7272727273</v>
      </c>
      <c r="U21" s="16">
        <v>3.0</v>
      </c>
      <c r="V21" s="16">
        <v>5.0</v>
      </c>
      <c r="W21" s="21">
        <f t="shared" si="6"/>
        <v>0.6</v>
      </c>
      <c r="X21" s="16">
        <v>50.0</v>
      </c>
      <c r="Y21" s="16">
        <v>46.0</v>
      </c>
      <c r="Z21" s="16">
        <v>46.0</v>
      </c>
      <c r="AA21" s="13">
        <f t="shared" si="7"/>
        <v>1</v>
      </c>
      <c r="AB21" s="16">
        <v>127.0</v>
      </c>
      <c r="AC21" s="16">
        <v>1.9</v>
      </c>
      <c r="AD21" s="16">
        <v>11.0</v>
      </c>
      <c r="AE21" s="16" t="s">
        <v>70</v>
      </c>
      <c r="AF21" s="16" t="s">
        <v>71</v>
      </c>
      <c r="AG21" s="16" t="s">
        <v>61</v>
      </c>
      <c r="AH21" s="24">
        <f t="shared" si="8"/>
        <v>2</v>
      </c>
      <c r="AI21" s="24">
        <f t="shared" si="9"/>
        <v>1</v>
      </c>
      <c r="AJ21" s="24">
        <f t="shared" si="10"/>
        <v>2</v>
      </c>
      <c r="AK21" s="24">
        <f t="shared" si="11"/>
        <v>1</v>
      </c>
      <c r="AL21" s="24">
        <f t="shared" si="12"/>
        <v>2</v>
      </c>
      <c r="AM21" s="24">
        <f t="shared" si="13"/>
        <v>8</v>
      </c>
    </row>
    <row r="22">
      <c r="A22" s="15">
        <v>2019.0</v>
      </c>
      <c r="B22" s="15" t="s">
        <v>142</v>
      </c>
      <c r="C22" s="7" t="s">
        <v>53</v>
      </c>
      <c r="D22" s="15" t="s">
        <v>143</v>
      </c>
      <c r="E22" s="16" t="s">
        <v>109</v>
      </c>
      <c r="F22" s="16">
        <v>20.0</v>
      </c>
      <c r="G22" s="16">
        <v>21.0</v>
      </c>
      <c r="H22" s="18">
        <f t="shared" si="1"/>
        <v>0.9523809524</v>
      </c>
      <c r="I22" s="16">
        <v>0.0</v>
      </c>
      <c r="J22" s="16">
        <v>0.0</v>
      </c>
      <c r="K22" s="21" t="str">
        <f t="shared" si="2"/>
        <v/>
      </c>
      <c r="L22" s="16">
        <v>6.0</v>
      </c>
      <c r="M22" s="16">
        <v>6.0</v>
      </c>
      <c r="N22" s="21">
        <f t="shared" si="14"/>
        <v>0.5</v>
      </c>
      <c r="O22" s="16">
        <v>11.0</v>
      </c>
      <c r="P22" s="16">
        <v>11.0</v>
      </c>
      <c r="Q22" s="21">
        <f t="shared" si="4"/>
        <v>1</v>
      </c>
      <c r="R22" s="16">
        <v>1.0</v>
      </c>
      <c r="S22" s="16">
        <v>2.0</v>
      </c>
      <c r="T22" s="21">
        <f t="shared" si="5"/>
        <v>0.5</v>
      </c>
      <c r="U22" s="16">
        <v>2.0</v>
      </c>
      <c r="V22" s="16">
        <v>2.0</v>
      </c>
      <c r="W22" s="21">
        <f t="shared" si="6"/>
        <v>1</v>
      </c>
      <c r="X22" s="16">
        <v>51.0</v>
      </c>
      <c r="Y22" s="16">
        <v>55.0</v>
      </c>
      <c r="Z22" s="16">
        <v>57.0</v>
      </c>
      <c r="AA22" s="13">
        <f t="shared" si="7"/>
        <v>0.9649122807</v>
      </c>
      <c r="AB22" s="16">
        <v>115.0</v>
      </c>
      <c r="AC22" s="16">
        <v>1.5</v>
      </c>
      <c r="AD22" s="16">
        <v>6.0</v>
      </c>
      <c r="AE22" s="16" t="s">
        <v>69</v>
      </c>
      <c r="AF22" s="16" t="s">
        <v>71</v>
      </c>
      <c r="AG22" s="16" t="s">
        <v>61</v>
      </c>
      <c r="AH22" s="24">
        <f t="shared" si="8"/>
        <v>1</v>
      </c>
      <c r="AI22" s="24">
        <f t="shared" si="9"/>
        <v>2</v>
      </c>
      <c r="AJ22" s="24">
        <f t="shared" si="10"/>
        <v>2</v>
      </c>
      <c r="AK22" s="24">
        <f t="shared" si="11"/>
        <v>1</v>
      </c>
      <c r="AL22" s="24">
        <f t="shared" si="12"/>
        <v>1</v>
      </c>
      <c r="AM22" s="24">
        <f t="shared" si="13"/>
        <v>7</v>
      </c>
    </row>
    <row r="23">
      <c r="A23" s="15">
        <v>2018.0</v>
      </c>
      <c r="B23" s="15" t="s">
        <v>149</v>
      </c>
      <c r="C23" s="7" t="s">
        <v>53</v>
      </c>
      <c r="D23" s="15" t="s">
        <v>150</v>
      </c>
      <c r="E23" s="16" t="s">
        <v>68</v>
      </c>
      <c r="F23" s="16">
        <v>16.0</v>
      </c>
      <c r="G23" s="16">
        <v>17.0</v>
      </c>
      <c r="H23" s="18">
        <f t="shared" si="1"/>
        <v>0.9411764706</v>
      </c>
      <c r="I23" s="16">
        <v>0.0</v>
      </c>
      <c r="J23" s="16">
        <v>0.0</v>
      </c>
      <c r="K23" s="21" t="str">
        <f t="shared" si="2"/>
        <v/>
      </c>
      <c r="L23" s="16">
        <v>5.0</v>
      </c>
      <c r="M23" s="16">
        <v>5.0</v>
      </c>
      <c r="N23" s="21">
        <f t="shared" si="14"/>
        <v>0.8</v>
      </c>
      <c r="O23" s="16">
        <v>6.0</v>
      </c>
      <c r="P23" s="16">
        <v>6.0</v>
      </c>
      <c r="Q23" s="21">
        <f t="shared" si="4"/>
        <v>1</v>
      </c>
      <c r="R23" s="16">
        <v>4.0</v>
      </c>
      <c r="S23" s="16">
        <v>5.0</v>
      </c>
      <c r="T23" s="21">
        <f t="shared" si="5"/>
        <v>0.8</v>
      </c>
      <c r="U23" s="16">
        <v>1.0</v>
      </c>
      <c r="V23" s="16">
        <v>1.0</v>
      </c>
      <c r="W23" s="21">
        <f t="shared" si="6"/>
        <v>1</v>
      </c>
      <c r="X23" s="16">
        <v>51.0</v>
      </c>
      <c r="Y23" s="16">
        <v>28.0</v>
      </c>
      <c r="Z23" s="16">
        <v>28.0</v>
      </c>
      <c r="AA23" s="13">
        <f t="shared" si="7"/>
        <v>1</v>
      </c>
      <c r="AB23" s="16">
        <v>76.0</v>
      </c>
      <c r="AC23" s="16">
        <v>1.3</v>
      </c>
      <c r="AD23" s="16">
        <v>6.0</v>
      </c>
      <c r="AE23" s="16" t="s">
        <v>59</v>
      </c>
      <c r="AF23" s="16" t="s">
        <v>60</v>
      </c>
      <c r="AG23" s="16" t="s">
        <v>61</v>
      </c>
      <c r="AH23" s="24">
        <f t="shared" si="8"/>
        <v>1</v>
      </c>
      <c r="AI23" s="24">
        <f t="shared" si="9"/>
        <v>2</v>
      </c>
      <c r="AJ23" s="24">
        <f t="shared" si="10"/>
        <v>1</v>
      </c>
      <c r="AK23" s="24">
        <f t="shared" si="11"/>
        <v>1</v>
      </c>
      <c r="AL23" s="24">
        <f t="shared" si="12"/>
        <v>1</v>
      </c>
      <c r="AM23" s="24">
        <f t="shared" si="13"/>
        <v>6</v>
      </c>
    </row>
    <row r="24">
      <c r="A24" s="15">
        <v>2018.0</v>
      </c>
      <c r="B24" s="15" t="s">
        <v>154</v>
      </c>
      <c r="C24" s="7" t="s">
        <v>53</v>
      </c>
      <c r="D24" s="15" t="s">
        <v>155</v>
      </c>
      <c r="E24" s="16" t="s">
        <v>55</v>
      </c>
      <c r="F24" s="16">
        <v>29.0</v>
      </c>
      <c r="G24" s="16">
        <v>33.0</v>
      </c>
      <c r="H24" s="18">
        <f t="shared" si="1"/>
        <v>0.8787878788</v>
      </c>
      <c r="I24" s="16">
        <v>0.0</v>
      </c>
      <c r="J24" s="16">
        <v>0.0</v>
      </c>
      <c r="K24" s="21" t="str">
        <f t="shared" si="2"/>
        <v/>
      </c>
      <c r="L24" s="16">
        <v>13.0</v>
      </c>
      <c r="M24" s="16">
        <v>13.0</v>
      </c>
      <c r="N24" s="21">
        <f t="shared" si="14"/>
        <v>0.8571428571</v>
      </c>
      <c r="O24" s="16">
        <v>7.0</v>
      </c>
      <c r="P24" s="16">
        <v>8.0</v>
      </c>
      <c r="Q24" s="21">
        <f t="shared" si="4"/>
        <v>0.875</v>
      </c>
      <c r="R24" s="16">
        <v>6.0</v>
      </c>
      <c r="S24" s="16">
        <v>7.0</v>
      </c>
      <c r="T24" s="21">
        <f t="shared" si="5"/>
        <v>0.8571428571</v>
      </c>
      <c r="U24" s="16">
        <v>3.0</v>
      </c>
      <c r="V24" s="16">
        <v>5.0</v>
      </c>
      <c r="W24" s="21">
        <f t="shared" si="6"/>
        <v>0.6</v>
      </c>
      <c r="X24" s="16">
        <v>54.0</v>
      </c>
      <c r="Y24" s="16">
        <v>42.0</v>
      </c>
      <c r="Z24" s="16">
        <v>42.0</v>
      </c>
      <c r="AA24" s="13">
        <f t="shared" si="7"/>
        <v>1</v>
      </c>
      <c r="AB24" s="16">
        <v>129.0</v>
      </c>
      <c r="AC24" s="16">
        <v>2.2</v>
      </c>
      <c r="AD24" s="16">
        <v>9.0</v>
      </c>
      <c r="AE24" s="16" t="s">
        <v>70</v>
      </c>
      <c r="AF24" s="16" t="s">
        <v>71</v>
      </c>
      <c r="AG24" s="16" t="s">
        <v>61</v>
      </c>
      <c r="AH24" s="24">
        <f t="shared" si="8"/>
        <v>2</v>
      </c>
      <c r="AI24" s="24">
        <f t="shared" si="9"/>
        <v>1</v>
      </c>
      <c r="AJ24" s="24">
        <f t="shared" si="10"/>
        <v>2</v>
      </c>
      <c r="AK24" s="24">
        <f t="shared" si="11"/>
        <v>1</v>
      </c>
      <c r="AL24" s="24">
        <f t="shared" si="12"/>
        <v>2</v>
      </c>
      <c r="AM24" s="24">
        <f t="shared" si="13"/>
        <v>8</v>
      </c>
    </row>
    <row r="25">
      <c r="A25" s="15">
        <v>2018.0</v>
      </c>
      <c r="B25" s="15" t="s">
        <v>160</v>
      </c>
      <c r="C25" s="7" t="s">
        <v>66</v>
      </c>
      <c r="D25" s="15" t="s">
        <v>161</v>
      </c>
      <c r="E25" s="16" t="s">
        <v>139</v>
      </c>
      <c r="F25" s="16">
        <v>30.0</v>
      </c>
      <c r="G25" s="16">
        <v>34.0</v>
      </c>
      <c r="H25" s="18">
        <f t="shared" si="1"/>
        <v>0.8823529412</v>
      </c>
      <c r="I25" s="16">
        <v>1.0</v>
      </c>
      <c r="J25" s="16">
        <v>1.0</v>
      </c>
      <c r="K25" s="21">
        <f t="shared" si="2"/>
        <v>0.5714285714</v>
      </c>
      <c r="L25" s="16">
        <v>10.0</v>
      </c>
      <c r="M25" s="16">
        <v>11.0</v>
      </c>
      <c r="N25" s="21">
        <f t="shared" si="14"/>
        <v>0.5714285714</v>
      </c>
      <c r="O25" s="16">
        <v>12.0</v>
      </c>
      <c r="P25" s="16">
        <v>12.0</v>
      </c>
      <c r="Q25" s="21">
        <f t="shared" si="4"/>
        <v>1</v>
      </c>
      <c r="R25" s="16">
        <v>4.0</v>
      </c>
      <c r="S25" s="16">
        <v>7.0</v>
      </c>
      <c r="T25" s="21">
        <f t="shared" si="5"/>
        <v>0.5714285714</v>
      </c>
      <c r="U25" s="16">
        <v>3.0</v>
      </c>
      <c r="V25" s="16">
        <v>3.0</v>
      </c>
      <c r="W25" s="21">
        <f t="shared" si="6"/>
        <v>1</v>
      </c>
      <c r="X25" s="16">
        <v>61.0</v>
      </c>
      <c r="Y25" s="16">
        <v>61.0</v>
      </c>
      <c r="Z25" s="16">
        <v>61.0</v>
      </c>
      <c r="AA25" s="13">
        <f t="shared" si="7"/>
        <v>1</v>
      </c>
      <c r="AB25" s="16">
        <v>151.0</v>
      </c>
      <c r="AC25" s="16">
        <v>2.3</v>
      </c>
      <c r="AD25" s="16">
        <v>9.0</v>
      </c>
      <c r="AE25" s="16" t="s">
        <v>17</v>
      </c>
      <c r="AF25" s="16" t="s">
        <v>71</v>
      </c>
      <c r="AG25" s="16" t="s">
        <v>61</v>
      </c>
      <c r="AH25" s="24">
        <f t="shared" si="8"/>
        <v>2</v>
      </c>
      <c r="AI25" s="24">
        <f t="shared" si="9"/>
        <v>1</v>
      </c>
      <c r="AJ25" s="24">
        <f t="shared" si="10"/>
        <v>2</v>
      </c>
      <c r="AK25" s="24">
        <f t="shared" si="11"/>
        <v>2</v>
      </c>
      <c r="AL25" s="24">
        <f t="shared" si="12"/>
        <v>2</v>
      </c>
      <c r="AM25" s="24">
        <f t="shared" si="13"/>
        <v>9</v>
      </c>
    </row>
    <row r="26">
      <c r="A26" s="15">
        <v>2017.0</v>
      </c>
      <c r="B26" s="15" t="s">
        <v>164</v>
      </c>
      <c r="C26" s="7" t="s">
        <v>53</v>
      </c>
      <c r="D26" s="15" t="s">
        <v>165</v>
      </c>
      <c r="E26" s="16" t="s">
        <v>109</v>
      </c>
      <c r="F26" s="16">
        <v>18.0</v>
      </c>
      <c r="G26" s="16">
        <v>24.0</v>
      </c>
      <c r="H26" s="18">
        <f t="shared" si="1"/>
        <v>0.75</v>
      </c>
      <c r="I26" s="16">
        <v>0.0</v>
      </c>
      <c r="J26" s="16">
        <v>0.0</v>
      </c>
      <c r="K26" s="21" t="str">
        <f t="shared" si="2"/>
        <v/>
      </c>
      <c r="L26" s="16">
        <v>8.0</v>
      </c>
      <c r="M26" s="16">
        <v>9.0</v>
      </c>
      <c r="N26" s="21">
        <f t="shared" si="14"/>
        <v>0.5</v>
      </c>
      <c r="O26" s="16">
        <v>5.0</v>
      </c>
      <c r="P26" s="16">
        <v>6.0</v>
      </c>
      <c r="Q26" s="21">
        <f t="shared" si="4"/>
        <v>0.8333333333</v>
      </c>
      <c r="R26" s="16">
        <v>4.0</v>
      </c>
      <c r="S26" s="16">
        <v>8.0</v>
      </c>
      <c r="T26" s="21">
        <f t="shared" si="5"/>
        <v>0.5</v>
      </c>
      <c r="U26" s="16">
        <v>1.0</v>
      </c>
      <c r="V26" s="16">
        <v>1.0</v>
      </c>
      <c r="W26" s="21">
        <f t="shared" si="6"/>
        <v>1</v>
      </c>
      <c r="X26" s="16">
        <v>52.0</v>
      </c>
      <c r="Y26" s="16">
        <v>47.0</v>
      </c>
      <c r="Z26" s="16">
        <v>47.0</v>
      </c>
      <c r="AA26" s="13">
        <f t="shared" si="7"/>
        <v>1</v>
      </c>
      <c r="AB26" s="16">
        <v>101.0</v>
      </c>
      <c r="AC26" s="16">
        <v>1.4</v>
      </c>
      <c r="AD26" s="16">
        <v>6.0</v>
      </c>
      <c r="AE26" s="16" t="s">
        <v>59</v>
      </c>
      <c r="AF26" s="16" t="s">
        <v>60</v>
      </c>
      <c r="AG26" s="16" t="s">
        <v>61</v>
      </c>
      <c r="AH26" s="24">
        <f t="shared" si="8"/>
        <v>1</v>
      </c>
      <c r="AI26" s="24">
        <f t="shared" si="9"/>
        <v>0</v>
      </c>
      <c r="AJ26" s="24">
        <f t="shared" si="10"/>
        <v>1</v>
      </c>
      <c r="AK26" s="24">
        <f t="shared" si="11"/>
        <v>1</v>
      </c>
      <c r="AL26" s="24">
        <f t="shared" si="12"/>
        <v>1</v>
      </c>
      <c r="AM26" s="24">
        <f t="shared" si="13"/>
        <v>4</v>
      </c>
    </row>
    <row r="27">
      <c r="A27" s="15">
        <v>2017.0</v>
      </c>
      <c r="B27" s="15" t="s">
        <v>120</v>
      </c>
      <c r="C27" s="7" t="s">
        <v>53</v>
      </c>
      <c r="D27" s="15" t="s">
        <v>171</v>
      </c>
      <c r="E27" s="16" t="s">
        <v>55</v>
      </c>
      <c r="F27" s="16">
        <v>23.0</v>
      </c>
      <c r="G27" s="16">
        <v>31.0</v>
      </c>
      <c r="H27" s="18">
        <f t="shared" si="1"/>
        <v>0.7419354839</v>
      </c>
      <c r="I27" s="16">
        <v>0.0</v>
      </c>
      <c r="J27" s="16">
        <v>0.0</v>
      </c>
      <c r="K27" s="21" t="str">
        <f t="shared" si="2"/>
        <v/>
      </c>
      <c r="L27" s="16">
        <v>7.0</v>
      </c>
      <c r="M27" s="16">
        <v>8.0</v>
      </c>
      <c r="N27" s="21">
        <f t="shared" si="14"/>
        <v>0.75</v>
      </c>
      <c r="O27" s="16">
        <v>6.0</v>
      </c>
      <c r="P27" s="16">
        <v>7.0</v>
      </c>
      <c r="Q27" s="21">
        <f t="shared" si="4"/>
        <v>0.8571428571</v>
      </c>
      <c r="R27" s="16">
        <v>6.0</v>
      </c>
      <c r="S27" s="16">
        <v>8.0</v>
      </c>
      <c r="T27" s="21">
        <f t="shared" si="5"/>
        <v>0.75</v>
      </c>
      <c r="U27" s="16">
        <v>4.0</v>
      </c>
      <c r="V27" s="16">
        <v>8.0</v>
      </c>
      <c r="W27" s="21">
        <f t="shared" si="6"/>
        <v>0.5</v>
      </c>
      <c r="X27" s="16">
        <v>54.0</v>
      </c>
      <c r="Y27" s="16">
        <v>57.0</v>
      </c>
      <c r="Z27" s="16">
        <v>57.0</v>
      </c>
      <c r="AA27" s="13">
        <f t="shared" si="7"/>
        <v>1</v>
      </c>
      <c r="AB27" s="16">
        <v>126.0</v>
      </c>
      <c r="AC27" s="16">
        <v>1.6</v>
      </c>
      <c r="AD27" s="16">
        <v>10.0</v>
      </c>
      <c r="AE27" s="16" t="s">
        <v>70</v>
      </c>
      <c r="AF27" s="16" t="s">
        <v>71</v>
      </c>
      <c r="AG27" s="16" t="s">
        <v>61</v>
      </c>
      <c r="AH27" s="24">
        <f t="shared" si="8"/>
        <v>1</v>
      </c>
      <c r="AI27" s="24">
        <f t="shared" si="9"/>
        <v>0</v>
      </c>
      <c r="AJ27" s="24">
        <f t="shared" si="10"/>
        <v>2</v>
      </c>
      <c r="AK27" s="24">
        <f t="shared" si="11"/>
        <v>1</v>
      </c>
      <c r="AL27" s="24">
        <f t="shared" si="12"/>
        <v>1</v>
      </c>
      <c r="AM27" s="24">
        <f t="shared" si="13"/>
        <v>5</v>
      </c>
    </row>
    <row r="28">
      <c r="A28" s="15">
        <v>2017.0</v>
      </c>
      <c r="B28" s="15" t="s">
        <v>172</v>
      </c>
      <c r="C28" s="7" t="s">
        <v>66</v>
      </c>
      <c r="D28" s="15" t="s">
        <v>173</v>
      </c>
      <c r="E28" s="16" t="s">
        <v>68</v>
      </c>
      <c r="F28" s="16">
        <v>27.0</v>
      </c>
      <c r="G28" s="16">
        <v>31.0</v>
      </c>
      <c r="H28" s="18">
        <f t="shared" si="1"/>
        <v>0.8709677419</v>
      </c>
      <c r="I28" s="16">
        <v>0.0</v>
      </c>
      <c r="J28" s="16">
        <v>0.0</v>
      </c>
      <c r="K28" s="21" t="str">
        <f t="shared" si="2"/>
        <v/>
      </c>
      <c r="L28" s="16">
        <v>5.0</v>
      </c>
      <c r="M28" s="16">
        <v>5.0</v>
      </c>
      <c r="N28" s="21">
        <f t="shared" si="14"/>
        <v>0.7</v>
      </c>
      <c r="O28" s="16">
        <v>11.0</v>
      </c>
      <c r="P28" s="16">
        <v>11.0</v>
      </c>
      <c r="Q28" s="21">
        <f t="shared" si="4"/>
        <v>1</v>
      </c>
      <c r="R28" s="16">
        <v>7.0</v>
      </c>
      <c r="S28" s="16">
        <v>10.0</v>
      </c>
      <c r="T28" s="21">
        <f t="shared" si="5"/>
        <v>0.7</v>
      </c>
      <c r="U28" s="16">
        <v>3.0</v>
      </c>
      <c r="V28" s="16">
        <v>5.0</v>
      </c>
      <c r="W28" s="21">
        <f t="shared" si="6"/>
        <v>0.6</v>
      </c>
      <c r="X28" s="16">
        <v>55.0</v>
      </c>
      <c r="Y28" s="16">
        <v>37.0</v>
      </c>
      <c r="Z28" s="16">
        <v>37.0</v>
      </c>
      <c r="AA28" s="13">
        <f t="shared" si="7"/>
        <v>1</v>
      </c>
      <c r="AB28" s="16">
        <v>123.0</v>
      </c>
      <c r="AC28" s="16">
        <v>2.3</v>
      </c>
      <c r="AD28" s="16">
        <v>6.0</v>
      </c>
      <c r="AE28" s="16" t="s">
        <v>69</v>
      </c>
      <c r="AF28" s="16" t="s">
        <v>71</v>
      </c>
      <c r="AG28" s="16" t="s">
        <v>61</v>
      </c>
      <c r="AH28" s="24">
        <f t="shared" si="8"/>
        <v>2</v>
      </c>
      <c r="AI28" s="24">
        <f t="shared" si="9"/>
        <v>1</v>
      </c>
      <c r="AJ28" s="24">
        <f t="shared" si="10"/>
        <v>2</v>
      </c>
      <c r="AK28" s="24">
        <f t="shared" si="11"/>
        <v>2</v>
      </c>
      <c r="AL28" s="24">
        <f t="shared" si="12"/>
        <v>2</v>
      </c>
      <c r="AM28" s="24">
        <f t="shared" si="13"/>
        <v>9</v>
      </c>
    </row>
    <row r="29">
      <c r="A29" s="15">
        <v>2016.0</v>
      </c>
      <c r="B29" s="15" t="s">
        <v>120</v>
      </c>
      <c r="C29" s="7" t="s">
        <v>53</v>
      </c>
      <c r="D29" s="15" t="s">
        <v>171</v>
      </c>
      <c r="E29" s="16" t="s">
        <v>68</v>
      </c>
      <c r="F29" s="16">
        <v>28.0</v>
      </c>
      <c r="G29" s="16">
        <v>32.0</v>
      </c>
      <c r="H29" s="18">
        <f t="shared" si="1"/>
        <v>0.875</v>
      </c>
      <c r="I29" s="16">
        <v>2.0</v>
      </c>
      <c r="J29" s="16">
        <v>2.0</v>
      </c>
      <c r="K29" s="21">
        <f t="shared" si="2"/>
        <v>1</v>
      </c>
      <c r="L29" s="16">
        <v>5.0</v>
      </c>
      <c r="M29" s="16">
        <v>5.0</v>
      </c>
      <c r="N29" s="21">
        <f t="shared" si="14"/>
        <v>1</v>
      </c>
      <c r="O29" s="16">
        <v>10.0</v>
      </c>
      <c r="P29" s="16">
        <v>11.0</v>
      </c>
      <c r="Q29" s="21">
        <f t="shared" si="4"/>
        <v>0.9090909091</v>
      </c>
      <c r="R29" s="16">
        <v>7.0</v>
      </c>
      <c r="S29" s="16">
        <v>7.0</v>
      </c>
      <c r="T29" s="21">
        <f t="shared" si="5"/>
        <v>1</v>
      </c>
      <c r="U29" s="16">
        <v>4.0</v>
      </c>
      <c r="V29" s="16">
        <v>7.0</v>
      </c>
      <c r="W29" s="21">
        <f t="shared" si="6"/>
        <v>0.5714285714</v>
      </c>
      <c r="X29" s="16">
        <v>53.0</v>
      </c>
      <c r="Y29" s="16">
        <v>44.0</v>
      </c>
      <c r="Z29" s="16">
        <v>44.0</v>
      </c>
      <c r="AA29" s="13">
        <f t="shared" si="7"/>
        <v>1</v>
      </c>
      <c r="AB29" s="16">
        <v>128.0</v>
      </c>
      <c r="AC29" s="16">
        <v>2.2</v>
      </c>
      <c r="AD29" s="16">
        <v>8.0</v>
      </c>
      <c r="AE29" s="16" t="s">
        <v>70</v>
      </c>
      <c r="AF29" s="16" t="s">
        <v>71</v>
      </c>
      <c r="AG29" s="16" t="s">
        <v>61</v>
      </c>
      <c r="AH29" s="24">
        <f t="shared" si="8"/>
        <v>2</v>
      </c>
      <c r="AI29" s="24">
        <f t="shared" si="9"/>
        <v>1</v>
      </c>
      <c r="AJ29" s="24">
        <f t="shared" si="10"/>
        <v>2</v>
      </c>
      <c r="AK29" s="24">
        <f t="shared" si="11"/>
        <v>1</v>
      </c>
      <c r="AL29" s="24">
        <f t="shared" si="12"/>
        <v>2</v>
      </c>
      <c r="AM29" s="24">
        <f t="shared" si="13"/>
        <v>8</v>
      </c>
    </row>
    <row r="30">
      <c r="A30" s="15">
        <v>2016.0</v>
      </c>
      <c r="B30" s="15" t="s">
        <v>177</v>
      </c>
      <c r="C30" s="7" t="s">
        <v>53</v>
      </c>
      <c r="D30" s="15" t="s">
        <v>178</v>
      </c>
      <c r="E30" s="16" t="s">
        <v>55</v>
      </c>
      <c r="F30" s="16">
        <v>19.0</v>
      </c>
      <c r="G30" s="16">
        <v>20.0</v>
      </c>
      <c r="H30" s="18">
        <f t="shared" si="1"/>
        <v>0.95</v>
      </c>
      <c r="I30" s="16">
        <v>0.0</v>
      </c>
      <c r="J30" s="16">
        <v>0.0</v>
      </c>
      <c r="K30" s="21" t="str">
        <f t="shared" si="2"/>
        <v/>
      </c>
      <c r="L30" s="16">
        <v>7.0</v>
      </c>
      <c r="M30" s="16">
        <v>7.0</v>
      </c>
      <c r="N30" s="21">
        <f t="shared" si="14"/>
        <v>1</v>
      </c>
      <c r="O30" s="16">
        <v>7.0</v>
      </c>
      <c r="P30" s="16">
        <v>7.0</v>
      </c>
      <c r="Q30" s="21">
        <f t="shared" si="4"/>
        <v>1</v>
      </c>
      <c r="R30" s="16">
        <v>4.0</v>
      </c>
      <c r="S30" s="16">
        <v>4.0</v>
      </c>
      <c r="T30" s="21">
        <f t="shared" si="5"/>
        <v>1</v>
      </c>
      <c r="U30" s="16">
        <v>1.0</v>
      </c>
      <c r="V30" s="16">
        <v>2.0</v>
      </c>
      <c r="W30" s="21">
        <f t="shared" si="6"/>
        <v>0.5</v>
      </c>
      <c r="X30" s="16">
        <v>53.0</v>
      </c>
      <c r="Y30" s="16">
        <v>28.0</v>
      </c>
      <c r="Z30" s="16">
        <v>29.0</v>
      </c>
      <c r="AA30" s="13">
        <f t="shared" si="7"/>
        <v>0.9655172414</v>
      </c>
      <c r="AB30" s="16">
        <v>85.0</v>
      </c>
      <c r="AC30" s="16">
        <v>1.7</v>
      </c>
      <c r="AD30" s="16">
        <v>5.0</v>
      </c>
      <c r="AE30" s="16" t="s">
        <v>74</v>
      </c>
      <c r="AF30" s="16" t="s">
        <v>60</v>
      </c>
      <c r="AG30" s="16" t="s">
        <v>61</v>
      </c>
      <c r="AH30" s="24">
        <f t="shared" si="8"/>
        <v>1</v>
      </c>
      <c r="AI30" s="24">
        <f t="shared" si="9"/>
        <v>2</v>
      </c>
      <c r="AJ30" s="24">
        <f t="shared" si="10"/>
        <v>1</v>
      </c>
      <c r="AK30" s="24">
        <f t="shared" si="11"/>
        <v>1</v>
      </c>
      <c r="AL30" s="24">
        <f t="shared" si="12"/>
        <v>1</v>
      </c>
      <c r="AM30" s="24">
        <f t="shared" si="13"/>
        <v>6</v>
      </c>
    </row>
    <row r="31">
      <c r="A31" s="15">
        <v>2016.0</v>
      </c>
      <c r="B31" s="15" t="s">
        <v>179</v>
      </c>
      <c r="C31" s="7" t="s">
        <v>66</v>
      </c>
      <c r="D31" s="15" t="s">
        <v>180</v>
      </c>
      <c r="E31" s="16" t="s">
        <v>55</v>
      </c>
      <c r="F31" s="16">
        <v>23.0</v>
      </c>
      <c r="G31" s="16">
        <v>24.0</v>
      </c>
      <c r="H31" s="18">
        <f t="shared" si="1"/>
        <v>0.9583333333</v>
      </c>
      <c r="I31" s="16">
        <v>0.0</v>
      </c>
      <c r="J31" s="16">
        <v>0.0</v>
      </c>
      <c r="K31" s="21" t="str">
        <f t="shared" si="2"/>
        <v/>
      </c>
      <c r="L31" s="16">
        <v>5.0</v>
      </c>
      <c r="M31" s="16">
        <v>5.0</v>
      </c>
      <c r="N31" s="21">
        <f t="shared" si="14"/>
        <v>1</v>
      </c>
      <c r="O31" s="16">
        <v>5.0</v>
      </c>
      <c r="P31" s="16">
        <v>5.0</v>
      </c>
      <c r="Q31" s="21">
        <f t="shared" si="4"/>
        <v>1</v>
      </c>
      <c r="R31" s="16">
        <v>6.0</v>
      </c>
      <c r="S31" s="16">
        <v>6.0</v>
      </c>
      <c r="T31" s="21">
        <f t="shared" si="5"/>
        <v>1</v>
      </c>
      <c r="U31" s="16">
        <v>7.0</v>
      </c>
      <c r="V31" s="16">
        <v>9.0</v>
      </c>
      <c r="W31" s="21">
        <f t="shared" si="6"/>
        <v>0.7777777778</v>
      </c>
      <c r="X31" s="16">
        <v>59.0</v>
      </c>
      <c r="Y31" s="16">
        <v>39.0</v>
      </c>
      <c r="Z31" s="16">
        <v>40.0</v>
      </c>
      <c r="AA31" s="13">
        <f t="shared" si="7"/>
        <v>0.975</v>
      </c>
      <c r="AB31" s="16">
        <v>108.0</v>
      </c>
      <c r="AC31" s="16">
        <v>1.9</v>
      </c>
      <c r="AD31" s="16">
        <v>5.0</v>
      </c>
      <c r="AE31" s="16" t="s">
        <v>69</v>
      </c>
      <c r="AF31" s="16" t="s">
        <v>71</v>
      </c>
      <c r="AG31" s="16" t="s">
        <v>61</v>
      </c>
      <c r="AH31" s="24">
        <f t="shared" si="8"/>
        <v>1</v>
      </c>
      <c r="AI31" s="24">
        <f t="shared" si="9"/>
        <v>2</v>
      </c>
      <c r="AJ31" s="24">
        <f t="shared" si="10"/>
        <v>2</v>
      </c>
      <c r="AK31" s="24">
        <f t="shared" si="11"/>
        <v>2</v>
      </c>
      <c r="AL31" s="24">
        <f t="shared" si="12"/>
        <v>2</v>
      </c>
      <c r="AM31" s="24">
        <f t="shared" si="13"/>
        <v>9</v>
      </c>
    </row>
    <row r="32">
      <c r="A32" s="15">
        <v>2015.0</v>
      </c>
      <c r="B32" s="15" t="s">
        <v>169</v>
      </c>
      <c r="C32" s="7" t="s">
        <v>53</v>
      </c>
      <c r="D32" s="15" t="s">
        <v>181</v>
      </c>
      <c r="E32" s="16" t="s">
        <v>68</v>
      </c>
      <c r="F32" s="16">
        <v>23.0</v>
      </c>
      <c r="G32" s="16">
        <v>28.0</v>
      </c>
      <c r="H32" s="18">
        <f t="shared" si="1"/>
        <v>0.8214285714</v>
      </c>
      <c r="I32" s="16">
        <v>0.0</v>
      </c>
      <c r="J32" s="16">
        <v>0.0</v>
      </c>
      <c r="K32" s="21" t="str">
        <f t="shared" si="2"/>
        <v/>
      </c>
      <c r="L32" s="16">
        <v>6.0</v>
      </c>
      <c r="M32" s="16">
        <v>6.0</v>
      </c>
      <c r="N32" s="21">
        <f t="shared" si="14"/>
        <v>0.8888888889</v>
      </c>
      <c r="O32" s="16">
        <v>7.0</v>
      </c>
      <c r="P32" s="16">
        <v>11.0</v>
      </c>
      <c r="Q32" s="21">
        <f t="shared" si="4"/>
        <v>0.6363636364</v>
      </c>
      <c r="R32" s="16">
        <v>8.0</v>
      </c>
      <c r="S32" s="16">
        <v>9.0</v>
      </c>
      <c r="T32" s="21">
        <f t="shared" si="5"/>
        <v>0.8888888889</v>
      </c>
      <c r="U32" s="16">
        <v>2.0</v>
      </c>
      <c r="V32" s="16">
        <v>2.0</v>
      </c>
      <c r="W32" s="21">
        <f t="shared" si="6"/>
        <v>1</v>
      </c>
      <c r="X32" s="16">
        <v>53.0</v>
      </c>
      <c r="Y32" s="16">
        <v>63.0</v>
      </c>
      <c r="Z32" s="16">
        <v>63.0</v>
      </c>
      <c r="AA32" s="13">
        <f t="shared" si="7"/>
        <v>1</v>
      </c>
      <c r="AB32" s="16">
        <v>132.0</v>
      </c>
      <c r="AC32" s="16">
        <v>1.8</v>
      </c>
      <c r="AD32" s="16">
        <v>8.0</v>
      </c>
      <c r="AE32" s="16" t="s">
        <v>51</v>
      </c>
      <c r="AF32" s="16" t="s">
        <v>60</v>
      </c>
      <c r="AG32" s="16" t="s">
        <v>61</v>
      </c>
      <c r="AH32" s="24">
        <f t="shared" si="8"/>
        <v>1</v>
      </c>
      <c r="AI32" s="24">
        <f t="shared" si="9"/>
        <v>1</v>
      </c>
      <c r="AJ32" s="24">
        <f t="shared" si="10"/>
        <v>2</v>
      </c>
      <c r="AK32" s="24">
        <f t="shared" si="11"/>
        <v>1</v>
      </c>
      <c r="AL32" s="24">
        <f t="shared" si="12"/>
        <v>2</v>
      </c>
      <c r="AM32" s="24">
        <f t="shared" si="13"/>
        <v>7</v>
      </c>
    </row>
    <row r="33">
      <c r="A33" s="15">
        <v>2015.0</v>
      </c>
      <c r="B33" s="15" t="s">
        <v>120</v>
      </c>
      <c r="C33" s="7" t="s">
        <v>53</v>
      </c>
      <c r="D33" s="15" t="s">
        <v>171</v>
      </c>
      <c r="E33" s="16" t="s">
        <v>109</v>
      </c>
      <c r="F33" s="16">
        <v>23.0</v>
      </c>
      <c r="G33" s="16">
        <v>27.0</v>
      </c>
      <c r="H33" s="18">
        <f t="shared" si="1"/>
        <v>0.8518518519</v>
      </c>
      <c r="I33" s="16">
        <v>0.0</v>
      </c>
      <c r="J33" s="16">
        <v>0.0</v>
      </c>
      <c r="K33" s="21" t="str">
        <f t="shared" si="2"/>
        <v/>
      </c>
      <c r="L33" s="16">
        <v>8.0</v>
      </c>
      <c r="M33" s="16">
        <v>10.0</v>
      </c>
      <c r="N33" s="21">
        <f t="shared" si="14"/>
        <v>0.8</v>
      </c>
      <c r="O33" s="16">
        <v>7.0</v>
      </c>
      <c r="P33" s="16">
        <v>7.0</v>
      </c>
      <c r="Q33" s="21">
        <f t="shared" si="4"/>
        <v>1</v>
      </c>
      <c r="R33" s="16">
        <v>4.0</v>
      </c>
      <c r="S33" s="16">
        <v>5.0</v>
      </c>
      <c r="T33" s="21">
        <f t="shared" si="5"/>
        <v>0.8</v>
      </c>
      <c r="U33" s="16">
        <v>4.0</v>
      </c>
      <c r="V33" s="16">
        <v>5.0</v>
      </c>
      <c r="W33" s="21">
        <f t="shared" si="6"/>
        <v>0.8</v>
      </c>
      <c r="X33" s="16">
        <v>56.0</v>
      </c>
      <c r="Y33" s="16">
        <v>40.0</v>
      </c>
      <c r="Z33" s="16">
        <v>40.0</v>
      </c>
      <c r="AA33" s="13">
        <f t="shared" si="7"/>
        <v>1</v>
      </c>
      <c r="AB33" s="16">
        <v>109.0</v>
      </c>
      <c r="AC33" s="16">
        <v>1.8</v>
      </c>
      <c r="AD33" s="16">
        <v>6.0</v>
      </c>
      <c r="AE33" s="16" t="s">
        <v>70</v>
      </c>
      <c r="AF33" s="16" t="s">
        <v>71</v>
      </c>
      <c r="AG33" s="16" t="s">
        <v>61</v>
      </c>
      <c r="AH33" s="24">
        <f t="shared" si="8"/>
        <v>1</v>
      </c>
      <c r="AI33" s="24">
        <f t="shared" si="9"/>
        <v>1</v>
      </c>
      <c r="AJ33" s="24">
        <f t="shared" si="10"/>
        <v>2</v>
      </c>
      <c r="AK33" s="24">
        <f t="shared" si="11"/>
        <v>2</v>
      </c>
      <c r="AL33" s="24">
        <f t="shared" si="12"/>
        <v>2</v>
      </c>
      <c r="AM33" s="24">
        <f t="shared" si="13"/>
        <v>8</v>
      </c>
    </row>
    <row r="34">
      <c r="A34" s="15">
        <v>2015.0</v>
      </c>
      <c r="B34" s="15" t="s">
        <v>182</v>
      </c>
      <c r="C34" s="7" t="s">
        <v>66</v>
      </c>
      <c r="D34" s="15" t="s">
        <v>183</v>
      </c>
      <c r="E34" s="16" t="s">
        <v>55</v>
      </c>
      <c r="F34" s="16">
        <v>20.0</v>
      </c>
      <c r="G34" s="16">
        <v>23.0</v>
      </c>
      <c r="H34" s="18">
        <f t="shared" si="1"/>
        <v>0.8695652174</v>
      </c>
      <c r="I34" s="16">
        <v>0.0</v>
      </c>
      <c r="J34" s="16">
        <v>0.0</v>
      </c>
      <c r="K34" s="21" t="str">
        <f t="shared" si="2"/>
        <v/>
      </c>
      <c r="L34" s="16">
        <v>7.0</v>
      </c>
      <c r="M34" s="16">
        <v>7.0</v>
      </c>
      <c r="N34" s="21">
        <f t="shared" si="14"/>
        <v>0.4</v>
      </c>
      <c r="O34" s="16">
        <v>9.0</v>
      </c>
      <c r="P34" s="16">
        <v>9.0</v>
      </c>
      <c r="Q34" s="21">
        <f t="shared" si="4"/>
        <v>1</v>
      </c>
      <c r="R34" s="16">
        <v>2.0</v>
      </c>
      <c r="S34" s="16">
        <v>5.0</v>
      </c>
      <c r="T34" s="21">
        <f t="shared" si="5"/>
        <v>0.4</v>
      </c>
      <c r="U34" s="16">
        <v>2.0</v>
      </c>
      <c r="V34" s="16">
        <v>3.0</v>
      </c>
      <c r="W34" s="21">
        <f t="shared" si="6"/>
        <v>0.6666666667</v>
      </c>
      <c r="X34" s="16">
        <v>60.0</v>
      </c>
      <c r="Y34" s="16">
        <v>44.0</v>
      </c>
      <c r="Z34" s="16">
        <v>44.0</v>
      </c>
      <c r="AA34" s="13">
        <f t="shared" si="7"/>
        <v>1</v>
      </c>
      <c r="AB34" s="16">
        <v>107.0</v>
      </c>
      <c r="AC34" s="16">
        <v>2.1</v>
      </c>
      <c r="AD34" s="16">
        <v>7.0</v>
      </c>
      <c r="AE34" s="16" t="s">
        <v>69</v>
      </c>
      <c r="AF34" s="16" t="s">
        <v>71</v>
      </c>
      <c r="AG34" s="16" t="s">
        <v>61</v>
      </c>
      <c r="AH34" s="24">
        <f t="shared" si="8"/>
        <v>1</v>
      </c>
      <c r="AI34" s="24">
        <f t="shared" si="9"/>
        <v>1</v>
      </c>
      <c r="AJ34" s="24">
        <f t="shared" si="10"/>
        <v>2</v>
      </c>
      <c r="AK34" s="24">
        <f t="shared" si="11"/>
        <v>2</v>
      </c>
      <c r="AL34" s="24">
        <f t="shared" si="12"/>
        <v>2</v>
      </c>
      <c r="AM34" s="24">
        <f t="shared" si="13"/>
        <v>8</v>
      </c>
    </row>
    <row r="35">
      <c r="A35" s="15">
        <v>2014.0</v>
      </c>
      <c r="B35" s="15" t="s">
        <v>153</v>
      </c>
      <c r="C35" s="7" t="s">
        <v>53</v>
      </c>
      <c r="D35" s="15" t="s">
        <v>184</v>
      </c>
      <c r="E35" s="16" t="s">
        <v>109</v>
      </c>
      <c r="F35" s="16">
        <v>27.0</v>
      </c>
      <c r="G35" s="16">
        <v>30.0</v>
      </c>
      <c r="H35" s="18">
        <f t="shared" si="1"/>
        <v>0.9</v>
      </c>
      <c r="I35" s="16">
        <v>0.0</v>
      </c>
      <c r="J35" s="16">
        <v>0.0</v>
      </c>
      <c r="K35" s="21" t="str">
        <f t="shared" si="2"/>
        <v/>
      </c>
      <c r="L35" s="16">
        <v>9.0</v>
      </c>
      <c r="M35" s="16">
        <v>9.0</v>
      </c>
      <c r="N35" s="21">
        <f t="shared" si="14"/>
        <v>0.75</v>
      </c>
      <c r="O35" s="16">
        <v>9.0</v>
      </c>
      <c r="P35" s="16">
        <v>9.0</v>
      </c>
      <c r="Q35" s="21">
        <f t="shared" si="4"/>
        <v>1</v>
      </c>
      <c r="R35" s="16">
        <v>6.0</v>
      </c>
      <c r="S35" s="16">
        <v>8.0</v>
      </c>
      <c r="T35" s="21">
        <f t="shared" si="5"/>
        <v>0.75</v>
      </c>
      <c r="U35" s="16">
        <v>3.0</v>
      </c>
      <c r="V35" s="16">
        <v>4.0</v>
      </c>
      <c r="W35" s="21">
        <f t="shared" si="6"/>
        <v>0.75</v>
      </c>
      <c r="X35" s="16">
        <v>53.0</v>
      </c>
      <c r="Y35" s="16">
        <v>55.0</v>
      </c>
      <c r="Z35" s="16">
        <v>55.0</v>
      </c>
      <c r="AA35" s="13">
        <f t="shared" si="7"/>
        <v>1</v>
      </c>
      <c r="AB35" s="16">
        <v>136.0</v>
      </c>
      <c r="AC35" s="16">
        <v>1.9</v>
      </c>
      <c r="AD35" s="16">
        <v>11.0</v>
      </c>
      <c r="AE35" s="16" t="s">
        <v>17</v>
      </c>
      <c r="AF35" s="16" t="s">
        <v>71</v>
      </c>
      <c r="AG35" s="16" t="s">
        <v>61</v>
      </c>
      <c r="AH35" s="24">
        <f t="shared" si="8"/>
        <v>2</v>
      </c>
      <c r="AI35" s="24">
        <f t="shared" si="9"/>
        <v>1</v>
      </c>
      <c r="AJ35" s="24">
        <f t="shared" si="10"/>
        <v>2</v>
      </c>
      <c r="AK35" s="24">
        <f t="shared" si="11"/>
        <v>1</v>
      </c>
      <c r="AL35" s="24">
        <f t="shared" si="12"/>
        <v>2</v>
      </c>
      <c r="AM35" s="24">
        <f t="shared" si="13"/>
        <v>8</v>
      </c>
    </row>
    <row r="36">
      <c r="A36" s="15">
        <v>2014.0</v>
      </c>
      <c r="B36" s="15" t="s">
        <v>185</v>
      </c>
      <c r="C36" s="7" t="s">
        <v>53</v>
      </c>
      <c r="D36" s="15" t="s">
        <v>186</v>
      </c>
      <c r="E36" s="16" t="s">
        <v>109</v>
      </c>
      <c r="F36" s="16">
        <v>30.0</v>
      </c>
      <c r="G36" s="16">
        <v>39.0</v>
      </c>
      <c r="H36" s="18">
        <f t="shared" si="1"/>
        <v>0.7692307692</v>
      </c>
      <c r="I36" s="16">
        <v>1.0</v>
      </c>
      <c r="J36" s="16">
        <v>1.0</v>
      </c>
      <c r="K36" s="21">
        <f t="shared" si="2"/>
        <v>0.6315789474</v>
      </c>
      <c r="L36" s="16">
        <v>7.0</v>
      </c>
      <c r="M36" s="16">
        <v>7.0</v>
      </c>
      <c r="N36" s="21">
        <f t="shared" si="14"/>
        <v>0.6315789474</v>
      </c>
      <c r="O36" s="16">
        <v>6.0</v>
      </c>
      <c r="P36" s="16">
        <v>7.0</v>
      </c>
      <c r="Q36" s="21">
        <f t="shared" si="4"/>
        <v>0.8571428571</v>
      </c>
      <c r="R36" s="16">
        <v>12.0</v>
      </c>
      <c r="S36" s="16">
        <v>19.0</v>
      </c>
      <c r="T36" s="21">
        <f t="shared" si="5"/>
        <v>0.6315789474</v>
      </c>
      <c r="U36" s="16">
        <v>4.0</v>
      </c>
      <c r="V36" s="16">
        <v>5.0</v>
      </c>
      <c r="W36" s="21">
        <f t="shared" si="6"/>
        <v>0.8</v>
      </c>
      <c r="X36" s="16">
        <v>55.0</v>
      </c>
      <c r="Y36" s="16">
        <v>45.0</v>
      </c>
      <c r="Z36" s="16">
        <v>45.0</v>
      </c>
      <c r="AA36" s="13">
        <f t="shared" si="7"/>
        <v>1</v>
      </c>
      <c r="AB36" s="16">
        <v>135.0</v>
      </c>
      <c r="AC36" s="16">
        <v>2.3</v>
      </c>
      <c r="AD36" s="16">
        <v>7.0</v>
      </c>
      <c r="AE36" s="16" t="s">
        <v>56</v>
      </c>
      <c r="AF36" s="16" t="s">
        <v>71</v>
      </c>
      <c r="AG36" s="16" t="s">
        <v>61</v>
      </c>
      <c r="AH36" s="24">
        <f t="shared" si="8"/>
        <v>2</v>
      </c>
      <c r="AI36" s="24">
        <f t="shared" si="9"/>
        <v>0</v>
      </c>
      <c r="AJ36" s="24">
        <f t="shared" si="10"/>
        <v>2</v>
      </c>
      <c r="AK36" s="24">
        <f t="shared" si="11"/>
        <v>2</v>
      </c>
      <c r="AL36" s="24">
        <f t="shared" si="12"/>
        <v>2</v>
      </c>
      <c r="AM36" s="24">
        <f t="shared" si="13"/>
        <v>8</v>
      </c>
    </row>
    <row r="37">
      <c r="A37" s="15">
        <v>2014.0</v>
      </c>
      <c r="B37" s="15" t="s">
        <v>187</v>
      </c>
      <c r="C37" s="7" t="s">
        <v>66</v>
      </c>
      <c r="D37" s="15" t="s">
        <v>188</v>
      </c>
      <c r="E37" s="16" t="s">
        <v>68</v>
      </c>
      <c r="F37" s="16">
        <v>18.0</v>
      </c>
      <c r="G37" s="16">
        <v>19.0</v>
      </c>
      <c r="H37" s="18">
        <f t="shared" si="1"/>
        <v>0.9473684211</v>
      </c>
      <c r="I37" s="16">
        <v>0.0</v>
      </c>
      <c r="J37" s="16">
        <v>0.0</v>
      </c>
      <c r="K37" s="21" t="str">
        <f t="shared" si="2"/>
        <v/>
      </c>
      <c r="L37" s="16">
        <v>3.0</v>
      </c>
      <c r="M37" s="16">
        <v>3.0</v>
      </c>
      <c r="N37" s="21">
        <f t="shared" si="14"/>
        <v>1</v>
      </c>
      <c r="O37" s="16">
        <v>4.0</v>
      </c>
      <c r="P37" s="16">
        <v>4.0</v>
      </c>
      <c r="Q37" s="21">
        <f t="shared" si="4"/>
        <v>1</v>
      </c>
      <c r="R37" s="16">
        <v>9.0</v>
      </c>
      <c r="S37" s="16">
        <v>9.0</v>
      </c>
      <c r="T37" s="21">
        <f t="shared" si="5"/>
        <v>1</v>
      </c>
      <c r="U37" s="16">
        <v>2.0</v>
      </c>
      <c r="V37" s="16">
        <v>3.0</v>
      </c>
      <c r="W37" s="21">
        <f t="shared" si="6"/>
        <v>0.6666666667</v>
      </c>
      <c r="X37" s="16">
        <v>57.0</v>
      </c>
      <c r="Y37" s="16">
        <v>41.0</v>
      </c>
      <c r="Z37" s="16">
        <v>41.0</v>
      </c>
      <c r="AA37" s="13">
        <f t="shared" si="7"/>
        <v>1</v>
      </c>
      <c r="AB37" s="16">
        <v>98.0</v>
      </c>
      <c r="AC37" s="16">
        <v>1.4</v>
      </c>
      <c r="AD37" s="16">
        <v>7.0</v>
      </c>
      <c r="AE37" s="16" t="s">
        <v>58</v>
      </c>
      <c r="AF37" s="16" t="s">
        <v>71</v>
      </c>
      <c r="AG37" s="16" t="s">
        <v>61</v>
      </c>
      <c r="AH37" s="24">
        <f t="shared" si="8"/>
        <v>1</v>
      </c>
      <c r="AI37" s="24">
        <f t="shared" si="9"/>
        <v>2</v>
      </c>
      <c r="AJ37" s="24">
        <f t="shared" si="10"/>
        <v>2</v>
      </c>
      <c r="AK37" s="24">
        <f t="shared" si="11"/>
        <v>2</v>
      </c>
      <c r="AL37" s="24">
        <f t="shared" si="12"/>
        <v>1</v>
      </c>
      <c r="AM37" s="24">
        <f t="shared" si="13"/>
        <v>8</v>
      </c>
    </row>
    <row r="38">
      <c r="A38" s="15">
        <v>2013.0</v>
      </c>
      <c r="B38" s="15" t="s">
        <v>189</v>
      </c>
      <c r="C38" s="7" t="s">
        <v>53</v>
      </c>
      <c r="D38" s="15" t="s">
        <v>190</v>
      </c>
      <c r="E38" s="16" t="s">
        <v>55</v>
      </c>
      <c r="F38" s="16">
        <v>20.0</v>
      </c>
      <c r="G38" s="16">
        <v>22.0</v>
      </c>
      <c r="H38" s="18">
        <f t="shared" si="1"/>
        <v>0.9090909091</v>
      </c>
      <c r="I38" s="16">
        <v>0.0</v>
      </c>
      <c r="J38" s="16">
        <v>0.0</v>
      </c>
      <c r="K38" s="21" t="str">
        <f t="shared" si="2"/>
        <v/>
      </c>
      <c r="L38" s="16">
        <v>7.0</v>
      </c>
      <c r="M38" s="16">
        <v>7.0</v>
      </c>
      <c r="N38" s="21">
        <f t="shared" si="14"/>
        <v>0.7142857143</v>
      </c>
      <c r="O38" s="16">
        <v>7.0</v>
      </c>
      <c r="P38" s="16">
        <v>7.0</v>
      </c>
      <c r="Q38" s="21">
        <f t="shared" si="4"/>
        <v>1</v>
      </c>
      <c r="R38" s="16">
        <v>5.0</v>
      </c>
      <c r="S38" s="16">
        <v>7.0</v>
      </c>
      <c r="T38" s="21">
        <f t="shared" si="5"/>
        <v>0.7142857143</v>
      </c>
      <c r="U38" s="16">
        <v>1.0</v>
      </c>
      <c r="V38" s="16">
        <v>1.0</v>
      </c>
      <c r="W38" s="21">
        <f t="shared" si="6"/>
        <v>1</v>
      </c>
      <c r="X38" s="16">
        <v>50.0</v>
      </c>
      <c r="Y38" s="16">
        <v>45.0</v>
      </c>
      <c r="Z38" s="16">
        <v>46.0</v>
      </c>
      <c r="AA38" s="13">
        <f t="shared" si="7"/>
        <v>0.9782608696</v>
      </c>
      <c r="AB38" s="16">
        <v>105.0</v>
      </c>
      <c r="AC38" s="16">
        <v>1.7</v>
      </c>
      <c r="AD38" s="16">
        <v>8.0</v>
      </c>
      <c r="AE38" s="16" t="s">
        <v>56</v>
      </c>
      <c r="AF38" s="16" t="s">
        <v>71</v>
      </c>
      <c r="AG38" s="16" t="s">
        <v>61</v>
      </c>
      <c r="AH38" s="24">
        <f t="shared" si="8"/>
        <v>1</v>
      </c>
      <c r="AI38" s="24">
        <f t="shared" si="9"/>
        <v>1</v>
      </c>
      <c r="AJ38" s="24">
        <f t="shared" si="10"/>
        <v>1</v>
      </c>
      <c r="AK38" s="24">
        <f t="shared" si="11"/>
        <v>1</v>
      </c>
      <c r="AL38" s="24">
        <f t="shared" si="12"/>
        <v>1</v>
      </c>
      <c r="AM38" s="24">
        <f t="shared" si="13"/>
        <v>5</v>
      </c>
    </row>
    <row r="39">
      <c r="A39" s="15">
        <v>2013.0</v>
      </c>
      <c r="B39" s="15" t="s">
        <v>191</v>
      </c>
      <c r="C39" s="7" t="s">
        <v>53</v>
      </c>
      <c r="D39" s="15" t="s">
        <v>192</v>
      </c>
      <c r="E39" s="16" t="s">
        <v>68</v>
      </c>
      <c r="F39" s="16">
        <v>18.0</v>
      </c>
      <c r="G39" s="16">
        <v>23.0</v>
      </c>
      <c r="H39" s="18">
        <f t="shared" si="1"/>
        <v>0.7826086957</v>
      </c>
      <c r="I39" s="16">
        <v>0.0</v>
      </c>
      <c r="J39" s="16">
        <v>0.0</v>
      </c>
      <c r="K39" s="21" t="str">
        <f t="shared" si="2"/>
        <v/>
      </c>
      <c r="L39" s="16">
        <v>6.0</v>
      </c>
      <c r="M39" s="16">
        <v>6.0</v>
      </c>
      <c r="N39" s="21">
        <f t="shared" si="14"/>
        <v>0.7777777778</v>
      </c>
      <c r="O39" s="16">
        <v>1.0</v>
      </c>
      <c r="P39" s="16">
        <v>1.0</v>
      </c>
      <c r="Q39" s="21">
        <f t="shared" si="4"/>
        <v>1</v>
      </c>
      <c r="R39" s="16">
        <v>7.0</v>
      </c>
      <c r="S39" s="16">
        <v>9.0</v>
      </c>
      <c r="T39" s="21">
        <f t="shared" si="5"/>
        <v>0.7777777778</v>
      </c>
      <c r="U39" s="16">
        <v>4.0</v>
      </c>
      <c r="V39" s="16">
        <v>7.0</v>
      </c>
      <c r="W39" s="21">
        <f t="shared" si="6"/>
        <v>0.5714285714</v>
      </c>
      <c r="X39" s="16">
        <v>52.0</v>
      </c>
      <c r="Y39" s="16">
        <v>15.0</v>
      </c>
      <c r="Z39" s="16">
        <v>15.0</v>
      </c>
      <c r="AA39" s="13">
        <f t="shared" si="7"/>
        <v>1</v>
      </c>
      <c r="AB39" s="16">
        <v>69.0</v>
      </c>
      <c r="AC39" s="16">
        <v>1.5</v>
      </c>
      <c r="AD39" s="16">
        <v>2.0</v>
      </c>
      <c r="AE39" s="16" t="s">
        <v>51</v>
      </c>
      <c r="AF39" s="16" t="s">
        <v>71</v>
      </c>
      <c r="AG39" s="16" t="s">
        <v>61</v>
      </c>
      <c r="AH39" s="24">
        <f t="shared" si="8"/>
        <v>1</v>
      </c>
      <c r="AI39" s="24">
        <f t="shared" si="9"/>
        <v>0</v>
      </c>
      <c r="AJ39" s="24">
        <f t="shared" si="10"/>
        <v>2</v>
      </c>
      <c r="AK39" s="24">
        <f t="shared" si="11"/>
        <v>1</v>
      </c>
      <c r="AL39" s="24">
        <f t="shared" si="12"/>
        <v>1</v>
      </c>
      <c r="AM39" s="24">
        <f t="shared" si="13"/>
        <v>5</v>
      </c>
    </row>
    <row r="40">
      <c r="A40" s="15">
        <v>2013.0</v>
      </c>
      <c r="B40" s="15" t="s">
        <v>153</v>
      </c>
      <c r="C40" s="7" t="s">
        <v>66</v>
      </c>
      <c r="D40" s="15" t="s">
        <v>184</v>
      </c>
      <c r="E40" s="16" t="s">
        <v>139</v>
      </c>
      <c r="F40" s="16">
        <v>21.0</v>
      </c>
      <c r="G40" s="16">
        <v>22.0</v>
      </c>
      <c r="H40" s="18">
        <f t="shared" si="1"/>
        <v>0.9545454545</v>
      </c>
      <c r="I40" s="16">
        <v>0.0</v>
      </c>
      <c r="J40" s="16">
        <v>0.0</v>
      </c>
      <c r="K40" s="21" t="str">
        <f t="shared" si="2"/>
        <v/>
      </c>
      <c r="L40" s="16">
        <v>10.0</v>
      </c>
      <c r="M40" s="16">
        <v>10.0</v>
      </c>
      <c r="N40" s="21">
        <f t="shared" si="14"/>
        <v>0.8888888889</v>
      </c>
      <c r="O40" s="16">
        <v>2.0</v>
      </c>
      <c r="P40" s="16">
        <v>2.0</v>
      </c>
      <c r="Q40" s="21">
        <f t="shared" si="4"/>
        <v>1</v>
      </c>
      <c r="R40" s="16">
        <v>8.0</v>
      </c>
      <c r="S40" s="16">
        <v>9.0</v>
      </c>
      <c r="T40" s="21">
        <f t="shared" si="5"/>
        <v>0.8888888889</v>
      </c>
      <c r="U40" s="16">
        <v>1.0</v>
      </c>
      <c r="V40" s="16">
        <v>1.0</v>
      </c>
      <c r="W40" s="21">
        <f t="shared" si="6"/>
        <v>1</v>
      </c>
      <c r="X40" s="16">
        <v>53.0</v>
      </c>
      <c r="Y40" s="16">
        <v>94.0</v>
      </c>
      <c r="Z40" s="16">
        <v>94.0</v>
      </c>
      <c r="AA40" s="13">
        <f t="shared" si="7"/>
        <v>1</v>
      </c>
      <c r="AB40" s="16">
        <v>157.0</v>
      </c>
      <c r="AC40" s="16">
        <v>1.5</v>
      </c>
      <c r="AD40" s="16">
        <v>12.0</v>
      </c>
      <c r="AE40" s="16" t="s">
        <v>17</v>
      </c>
      <c r="AF40" s="16" t="s">
        <v>71</v>
      </c>
      <c r="AG40" s="16" t="s">
        <v>61</v>
      </c>
      <c r="AH40" s="24">
        <f t="shared" si="8"/>
        <v>1</v>
      </c>
      <c r="AI40" s="24">
        <f t="shared" si="9"/>
        <v>2</v>
      </c>
      <c r="AJ40" s="24">
        <f t="shared" si="10"/>
        <v>1</v>
      </c>
      <c r="AK40" s="24">
        <f t="shared" si="11"/>
        <v>1</v>
      </c>
      <c r="AL40" s="24">
        <f t="shared" si="12"/>
        <v>1</v>
      </c>
      <c r="AM40" s="24">
        <f t="shared" si="13"/>
        <v>6</v>
      </c>
    </row>
    <row r="41">
      <c r="A41" s="15">
        <v>2012.0</v>
      </c>
      <c r="B41" s="15" t="s">
        <v>167</v>
      </c>
      <c r="C41" s="7" t="s">
        <v>53</v>
      </c>
      <c r="D41" s="15" t="s">
        <v>193</v>
      </c>
      <c r="E41" s="16" t="s">
        <v>55</v>
      </c>
      <c r="F41" s="16">
        <v>24.0</v>
      </c>
      <c r="G41" s="16">
        <v>28.0</v>
      </c>
      <c r="H41" s="18">
        <f t="shared" si="1"/>
        <v>0.8571428571</v>
      </c>
      <c r="I41" s="16">
        <v>0.0</v>
      </c>
      <c r="J41" s="16">
        <v>0.0</v>
      </c>
      <c r="K41" s="21" t="str">
        <f t="shared" si="2"/>
        <v/>
      </c>
      <c r="L41" s="16">
        <v>10.0</v>
      </c>
      <c r="M41" s="16">
        <v>12.0</v>
      </c>
      <c r="N41" s="21">
        <f t="shared" si="14"/>
        <v>0.8333333333</v>
      </c>
      <c r="O41" s="16">
        <v>6.0</v>
      </c>
      <c r="P41" s="16">
        <v>7.0</v>
      </c>
      <c r="Q41" s="21">
        <f t="shared" si="4"/>
        <v>0.8571428571</v>
      </c>
      <c r="R41" s="16">
        <v>5.0</v>
      </c>
      <c r="S41" s="16">
        <v>6.0</v>
      </c>
      <c r="T41" s="21">
        <f t="shared" si="5"/>
        <v>0.8333333333</v>
      </c>
      <c r="U41" s="16">
        <v>3.0</v>
      </c>
      <c r="V41" s="16">
        <v>3.0</v>
      </c>
      <c r="W41" s="21">
        <f t="shared" si="6"/>
        <v>1</v>
      </c>
      <c r="X41" s="16">
        <v>51.0</v>
      </c>
      <c r="Y41" s="16">
        <v>34.0</v>
      </c>
      <c r="Z41" s="16">
        <v>35.0</v>
      </c>
      <c r="AA41" s="13">
        <f t="shared" si="7"/>
        <v>0.9714285714</v>
      </c>
      <c r="AB41" s="16">
        <v>106.0</v>
      </c>
      <c r="AC41" s="16">
        <v>1.8</v>
      </c>
      <c r="AD41" s="16">
        <v>11.0</v>
      </c>
      <c r="AE41" s="16" t="s">
        <v>70</v>
      </c>
      <c r="AF41" s="16" t="s">
        <v>71</v>
      </c>
      <c r="AG41" s="16" t="s">
        <v>61</v>
      </c>
      <c r="AH41" s="24">
        <f t="shared" si="8"/>
        <v>2</v>
      </c>
      <c r="AI41" s="24">
        <f t="shared" si="9"/>
        <v>1</v>
      </c>
      <c r="AJ41" s="24">
        <f t="shared" si="10"/>
        <v>2</v>
      </c>
      <c r="AK41" s="24">
        <f t="shared" si="11"/>
        <v>1</v>
      </c>
      <c r="AL41" s="24">
        <f t="shared" si="12"/>
        <v>2</v>
      </c>
      <c r="AM41" s="24">
        <f t="shared" si="13"/>
        <v>8</v>
      </c>
    </row>
    <row r="42">
      <c r="A42" s="15">
        <v>2012.0</v>
      </c>
      <c r="B42" s="15" t="s">
        <v>153</v>
      </c>
      <c r="C42" s="7" t="s">
        <v>53</v>
      </c>
      <c r="D42" s="15" t="s">
        <v>194</v>
      </c>
      <c r="E42" s="16" t="s">
        <v>109</v>
      </c>
      <c r="F42" s="16">
        <v>25.0</v>
      </c>
      <c r="G42" s="16">
        <v>30.0</v>
      </c>
      <c r="H42" s="18">
        <f t="shared" si="1"/>
        <v>0.8333333333</v>
      </c>
      <c r="I42" s="16">
        <v>1.0</v>
      </c>
      <c r="J42" s="16">
        <v>1.0</v>
      </c>
      <c r="K42" s="21">
        <f t="shared" si="2"/>
        <v>0.6666666667</v>
      </c>
      <c r="L42" s="16">
        <v>8.0</v>
      </c>
      <c r="M42" s="16">
        <v>8.0</v>
      </c>
      <c r="N42" s="21">
        <f t="shared" si="14"/>
        <v>0.6666666667</v>
      </c>
      <c r="O42" s="16">
        <v>5.0</v>
      </c>
      <c r="P42" s="16">
        <v>6.0</v>
      </c>
      <c r="Q42" s="21">
        <f t="shared" si="4"/>
        <v>0.8333333333</v>
      </c>
      <c r="R42" s="16">
        <v>6.0</v>
      </c>
      <c r="S42" s="16">
        <v>9.0</v>
      </c>
      <c r="T42" s="21">
        <f t="shared" si="5"/>
        <v>0.6666666667</v>
      </c>
      <c r="U42" s="16">
        <v>5.0</v>
      </c>
      <c r="V42" s="16">
        <v>6.0</v>
      </c>
      <c r="W42" s="21">
        <f t="shared" si="6"/>
        <v>0.8333333333</v>
      </c>
      <c r="X42" s="16">
        <v>56.0</v>
      </c>
      <c r="Y42" s="16">
        <v>65.0</v>
      </c>
      <c r="Z42" s="16">
        <v>66.0</v>
      </c>
      <c r="AA42" s="13">
        <f t="shared" si="7"/>
        <v>0.9848484848</v>
      </c>
      <c r="AB42" s="16">
        <v>140.0</v>
      </c>
      <c r="AC42" s="16">
        <v>1.8</v>
      </c>
      <c r="AD42" s="16">
        <v>10.0</v>
      </c>
      <c r="AE42" s="16" t="s">
        <v>17</v>
      </c>
      <c r="AF42" s="16" t="s">
        <v>71</v>
      </c>
      <c r="AG42" s="16" t="s">
        <v>61</v>
      </c>
      <c r="AH42" s="24">
        <f t="shared" si="8"/>
        <v>2</v>
      </c>
      <c r="AI42" s="24">
        <f t="shared" si="9"/>
        <v>1</v>
      </c>
      <c r="AJ42" s="24">
        <f t="shared" si="10"/>
        <v>2</v>
      </c>
      <c r="AK42" s="24">
        <f t="shared" si="11"/>
        <v>2</v>
      </c>
      <c r="AL42" s="24">
        <f t="shared" si="12"/>
        <v>2</v>
      </c>
      <c r="AM42" s="24">
        <f t="shared" si="13"/>
        <v>9</v>
      </c>
    </row>
    <row r="43">
      <c r="A43" s="15">
        <v>2012.0</v>
      </c>
      <c r="B43" s="15" t="s">
        <v>195</v>
      </c>
      <c r="C43" s="7" t="s">
        <v>66</v>
      </c>
      <c r="D43" s="15" t="s">
        <v>196</v>
      </c>
      <c r="E43" s="16" t="s">
        <v>55</v>
      </c>
      <c r="F43" s="16">
        <v>21.0</v>
      </c>
      <c r="G43" s="16">
        <v>21.0</v>
      </c>
      <c r="H43" s="18">
        <f t="shared" si="1"/>
        <v>1</v>
      </c>
      <c r="I43" s="16">
        <v>0.0</v>
      </c>
      <c r="J43" s="16">
        <v>0.0</v>
      </c>
      <c r="K43" s="21" t="str">
        <f t="shared" si="2"/>
        <v/>
      </c>
      <c r="L43" s="16">
        <v>3.0</v>
      </c>
      <c r="M43" s="16">
        <v>3.0</v>
      </c>
      <c r="N43" s="21">
        <f t="shared" si="14"/>
        <v>1</v>
      </c>
      <c r="O43" s="16">
        <v>6.0</v>
      </c>
      <c r="P43" s="16">
        <v>6.0</v>
      </c>
      <c r="Q43" s="21">
        <f t="shared" si="4"/>
        <v>1</v>
      </c>
      <c r="R43" s="16">
        <v>10.0</v>
      </c>
      <c r="S43" s="16">
        <v>10.0</v>
      </c>
      <c r="T43" s="21">
        <f t="shared" si="5"/>
        <v>1</v>
      </c>
      <c r="U43" s="16">
        <v>2.0</v>
      </c>
      <c r="V43" s="16">
        <v>2.0</v>
      </c>
      <c r="W43" s="21">
        <f t="shared" si="6"/>
        <v>1</v>
      </c>
      <c r="X43" s="16">
        <v>57.0</v>
      </c>
      <c r="Y43" s="16">
        <v>26.0</v>
      </c>
      <c r="Z43" s="16">
        <v>27.0</v>
      </c>
      <c r="AA43" s="13">
        <f t="shared" si="7"/>
        <v>0.962962963</v>
      </c>
      <c r="AB43" s="16">
        <v>89.0</v>
      </c>
      <c r="AC43" s="16">
        <v>1.8</v>
      </c>
      <c r="AD43" s="16">
        <v>2.0</v>
      </c>
      <c r="AE43" s="16" t="s">
        <v>62</v>
      </c>
      <c r="AF43" s="16" t="s">
        <v>60</v>
      </c>
      <c r="AG43" s="16" t="s">
        <v>61</v>
      </c>
      <c r="AH43" s="24">
        <f t="shared" si="8"/>
        <v>1</v>
      </c>
      <c r="AI43" s="24">
        <f t="shared" si="9"/>
        <v>2</v>
      </c>
      <c r="AJ43" s="24">
        <f t="shared" si="10"/>
        <v>2</v>
      </c>
      <c r="AK43" s="24">
        <f t="shared" si="11"/>
        <v>2</v>
      </c>
      <c r="AL43" s="24">
        <f t="shared" si="12"/>
        <v>2</v>
      </c>
      <c r="AM43" s="24">
        <f t="shared" si="13"/>
        <v>9</v>
      </c>
    </row>
    <row r="44">
      <c r="A44" s="15">
        <v>2011.0</v>
      </c>
      <c r="B44" s="15" t="s">
        <v>197</v>
      </c>
      <c r="C44" s="7" t="s">
        <v>66</v>
      </c>
      <c r="D44" s="15" t="s">
        <v>198</v>
      </c>
      <c r="E44" s="16" t="s">
        <v>55</v>
      </c>
      <c r="F44" s="16">
        <v>25.0</v>
      </c>
      <c r="G44" s="16">
        <v>29.0</v>
      </c>
      <c r="H44" s="18">
        <f t="shared" si="1"/>
        <v>0.8620689655</v>
      </c>
      <c r="I44" s="16">
        <v>2.0</v>
      </c>
      <c r="J44" s="16">
        <v>2.0</v>
      </c>
      <c r="K44" s="21">
        <f t="shared" si="2"/>
        <v>0.8571428571</v>
      </c>
      <c r="L44" s="16">
        <v>8.0</v>
      </c>
      <c r="M44" s="16">
        <v>8.0</v>
      </c>
      <c r="N44" s="21">
        <f t="shared" si="14"/>
        <v>0.8571428571</v>
      </c>
      <c r="O44" s="16">
        <v>6.0</v>
      </c>
      <c r="P44" s="16">
        <v>7.0</v>
      </c>
      <c r="Q44" s="21">
        <f t="shared" si="4"/>
        <v>0.8571428571</v>
      </c>
      <c r="R44" s="16">
        <v>12.0</v>
      </c>
      <c r="S44" s="16">
        <v>14.0</v>
      </c>
      <c r="T44" s="21">
        <f t="shared" si="5"/>
        <v>0.8571428571</v>
      </c>
      <c r="U44" s="16">
        <v>1.0</v>
      </c>
      <c r="V44" s="16">
        <v>2.0</v>
      </c>
      <c r="W44" s="21">
        <f t="shared" si="6"/>
        <v>0.5</v>
      </c>
      <c r="X44" s="16">
        <v>52.0</v>
      </c>
      <c r="Y44" s="16">
        <v>52.0</v>
      </c>
      <c r="Z44" s="16">
        <v>55.0</v>
      </c>
      <c r="AA44" s="13">
        <f t="shared" si="7"/>
        <v>0.9454545455</v>
      </c>
      <c r="AB44" s="16">
        <v>142.0</v>
      </c>
      <c r="AC44" s="16">
        <v>1.9</v>
      </c>
      <c r="AD44" s="16">
        <v>6.0</v>
      </c>
      <c r="AE44" s="16" t="s">
        <v>56</v>
      </c>
      <c r="AF44" s="16" t="s">
        <v>71</v>
      </c>
      <c r="AG44" s="16" t="s">
        <v>61</v>
      </c>
      <c r="AH44" s="24">
        <f t="shared" si="8"/>
        <v>2</v>
      </c>
      <c r="AI44" s="24">
        <f t="shared" si="9"/>
        <v>1</v>
      </c>
      <c r="AJ44" s="24">
        <f t="shared" si="10"/>
        <v>1</v>
      </c>
      <c r="AK44" s="24">
        <f t="shared" si="11"/>
        <v>1</v>
      </c>
      <c r="AL44" s="24">
        <f t="shared" si="12"/>
        <v>2</v>
      </c>
      <c r="AM44" s="24">
        <f t="shared" si="13"/>
        <v>7</v>
      </c>
    </row>
    <row r="45">
      <c r="A45" s="15">
        <v>2011.0</v>
      </c>
      <c r="B45" s="15" t="s">
        <v>153</v>
      </c>
      <c r="C45" s="7" t="s">
        <v>53</v>
      </c>
      <c r="D45" s="15" t="s">
        <v>194</v>
      </c>
      <c r="E45" s="16" t="s">
        <v>139</v>
      </c>
      <c r="F45" s="16">
        <v>22.0</v>
      </c>
      <c r="G45" s="16">
        <v>27.0</v>
      </c>
      <c r="H45" s="18">
        <f t="shared" si="1"/>
        <v>0.8148148148</v>
      </c>
      <c r="I45" s="16">
        <v>0.0</v>
      </c>
      <c r="J45" s="16">
        <v>0.0</v>
      </c>
      <c r="K45" s="21" t="str">
        <f t="shared" si="2"/>
        <v/>
      </c>
      <c r="L45" s="16">
        <v>10.0</v>
      </c>
      <c r="M45" s="16">
        <v>10.0</v>
      </c>
      <c r="N45" s="21">
        <f t="shared" si="14"/>
        <v>0.8571428571</v>
      </c>
      <c r="O45" s="16">
        <v>5.0</v>
      </c>
      <c r="P45" s="16">
        <v>7.0</v>
      </c>
      <c r="Q45" s="21">
        <f t="shared" si="4"/>
        <v>0.7142857143</v>
      </c>
      <c r="R45" s="16">
        <v>6.0</v>
      </c>
      <c r="S45" s="16">
        <v>7.0</v>
      </c>
      <c r="T45" s="21">
        <f t="shared" si="5"/>
        <v>0.8571428571</v>
      </c>
      <c r="U45" s="16">
        <v>1.0</v>
      </c>
      <c r="V45" s="16">
        <v>3.0</v>
      </c>
      <c r="W45" s="21">
        <f t="shared" si="6"/>
        <v>0.3333333333</v>
      </c>
      <c r="X45" s="16">
        <v>53.0</v>
      </c>
      <c r="Y45" s="16">
        <v>44.0</v>
      </c>
      <c r="Z45" s="16">
        <v>44.0</v>
      </c>
      <c r="AA45" s="13">
        <f t="shared" si="7"/>
        <v>1</v>
      </c>
      <c r="AB45" s="16">
        <v>110.0</v>
      </c>
      <c r="AC45" s="16">
        <v>1.7</v>
      </c>
      <c r="AD45" s="16">
        <v>8.0</v>
      </c>
      <c r="AE45" s="16" t="s">
        <v>17</v>
      </c>
      <c r="AF45" s="16" t="s">
        <v>71</v>
      </c>
      <c r="AG45" s="16" t="s">
        <v>61</v>
      </c>
      <c r="AH45" s="24">
        <f t="shared" si="8"/>
        <v>1</v>
      </c>
      <c r="AI45" s="24">
        <f t="shared" si="9"/>
        <v>0</v>
      </c>
      <c r="AJ45" s="24">
        <f t="shared" si="10"/>
        <v>1</v>
      </c>
      <c r="AK45" s="24">
        <f t="shared" si="11"/>
        <v>1</v>
      </c>
      <c r="AL45" s="24">
        <f t="shared" si="12"/>
        <v>1</v>
      </c>
      <c r="AM45" s="24">
        <f t="shared" si="13"/>
        <v>4</v>
      </c>
    </row>
    <row r="46">
      <c r="A46" s="15">
        <v>2011.0</v>
      </c>
      <c r="B46" s="15" t="s">
        <v>167</v>
      </c>
      <c r="C46" s="7" t="s">
        <v>53</v>
      </c>
      <c r="D46" s="15" t="s">
        <v>193</v>
      </c>
      <c r="E46" s="16" t="s">
        <v>68</v>
      </c>
      <c r="F46" s="16">
        <v>22.0</v>
      </c>
      <c r="G46" s="16">
        <v>26.0</v>
      </c>
      <c r="H46" s="18">
        <f t="shared" si="1"/>
        <v>0.8461538462</v>
      </c>
      <c r="I46" s="16">
        <v>1.0</v>
      </c>
      <c r="J46" s="16">
        <v>1.0</v>
      </c>
      <c r="K46" s="21">
        <f t="shared" si="2"/>
        <v>0.75</v>
      </c>
      <c r="L46" s="16">
        <v>9.0</v>
      </c>
      <c r="M46" s="16">
        <v>9.0</v>
      </c>
      <c r="N46" s="21">
        <f t="shared" si="14"/>
        <v>0.75</v>
      </c>
      <c r="O46" s="16">
        <v>3.0</v>
      </c>
      <c r="P46" s="16">
        <v>3.0</v>
      </c>
      <c r="Q46" s="21">
        <f t="shared" si="4"/>
        <v>1</v>
      </c>
      <c r="R46" s="16">
        <v>6.0</v>
      </c>
      <c r="S46" s="16">
        <v>8.0</v>
      </c>
      <c r="T46" s="21">
        <f t="shared" si="5"/>
        <v>0.75</v>
      </c>
      <c r="U46" s="16">
        <v>3.0</v>
      </c>
      <c r="V46" s="16">
        <v>5.0</v>
      </c>
      <c r="W46" s="21">
        <f t="shared" si="6"/>
        <v>0.6</v>
      </c>
      <c r="X46" s="16">
        <v>55.0</v>
      </c>
      <c r="Y46" s="16">
        <v>31.0</v>
      </c>
      <c r="Z46" s="16">
        <v>31.0</v>
      </c>
      <c r="AA46" s="13">
        <f t="shared" si="7"/>
        <v>1</v>
      </c>
      <c r="AB46" s="16">
        <v>97.0</v>
      </c>
      <c r="AC46" s="16">
        <v>1.7</v>
      </c>
      <c r="AD46" s="16">
        <v>6.0</v>
      </c>
      <c r="AE46" s="16" t="s">
        <v>70</v>
      </c>
      <c r="AF46" s="16" t="s">
        <v>71</v>
      </c>
      <c r="AG46" s="16" t="s">
        <v>61</v>
      </c>
      <c r="AH46" s="24">
        <f t="shared" si="8"/>
        <v>1</v>
      </c>
      <c r="AI46" s="24">
        <f t="shared" si="9"/>
        <v>1</v>
      </c>
      <c r="AJ46" s="24">
        <f t="shared" si="10"/>
        <v>2</v>
      </c>
      <c r="AK46" s="24">
        <f t="shared" si="11"/>
        <v>2</v>
      </c>
      <c r="AL46" s="24">
        <f t="shared" si="12"/>
        <v>1</v>
      </c>
      <c r="AM46" s="24">
        <f t="shared" si="13"/>
        <v>7</v>
      </c>
    </row>
    <row r="47" ht="18.0" customHeight="1">
      <c r="A47" s="15">
        <v>2010.0</v>
      </c>
      <c r="B47" s="15" t="s">
        <v>199</v>
      </c>
      <c r="C47" s="7" t="s">
        <v>53</v>
      </c>
      <c r="D47" s="15" t="s">
        <v>200</v>
      </c>
      <c r="E47" s="16" t="s">
        <v>55</v>
      </c>
      <c r="F47" s="16">
        <v>18.0</v>
      </c>
      <c r="G47" s="16">
        <v>19.0</v>
      </c>
      <c r="H47" s="18">
        <f t="shared" si="1"/>
        <v>0.9473684211</v>
      </c>
      <c r="I47" s="16">
        <v>1.0</v>
      </c>
      <c r="J47" s="16">
        <v>1.0</v>
      </c>
      <c r="K47" s="21">
        <f t="shared" si="2"/>
        <v>1</v>
      </c>
      <c r="L47" s="16">
        <v>3.0</v>
      </c>
      <c r="M47" s="16">
        <v>3.0</v>
      </c>
      <c r="N47" s="21">
        <f t="shared" si="14"/>
        <v>1</v>
      </c>
      <c r="O47" s="16">
        <v>7.0</v>
      </c>
      <c r="P47" s="16">
        <v>8.0</v>
      </c>
      <c r="Q47" s="21">
        <f t="shared" si="4"/>
        <v>0.875</v>
      </c>
      <c r="R47" s="16">
        <v>5.0</v>
      </c>
      <c r="S47" s="16">
        <v>5.0</v>
      </c>
      <c r="T47" s="21">
        <f t="shared" si="5"/>
        <v>1</v>
      </c>
      <c r="U47" s="16">
        <v>2.0</v>
      </c>
      <c r="V47" s="16">
        <v>2.0</v>
      </c>
      <c r="W47" s="21">
        <f t="shared" si="6"/>
        <v>1</v>
      </c>
      <c r="X47" s="16">
        <v>50.0</v>
      </c>
      <c r="Y47" s="16">
        <v>37.0</v>
      </c>
      <c r="Z47" s="16">
        <v>40.0</v>
      </c>
      <c r="AA47" s="13">
        <f t="shared" si="7"/>
        <v>0.925</v>
      </c>
      <c r="AB47" s="16">
        <v>91.0</v>
      </c>
      <c r="AC47" s="16">
        <v>1.4</v>
      </c>
      <c r="AD47" s="16">
        <v>7.0</v>
      </c>
      <c r="AE47" s="16" t="s">
        <v>63</v>
      </c>
      <c r="AF47" s="16" t="s">
        <v>71</v>
      </c>
      <c r="AG47" s="16" t="s">
        <v>61</v>
      </c>
      <c r="AH47" s="24">
        <f t="shared" si="8"/>
        <v>1</v>
      </c>
      <c r="AI47" s="24">
        <f t="shared" si="9"/>
        <v>2</v>
      </c>
      <c r="AJ47" s="24">
        <f t="shared" si="10"/>
        <v>2</v>
      </c>
      <c r="AK47" s="24">
        <f t="shared" si="11"/>
        <v>1</v>
      </c>
      <c r="AL47" s="24">
        <f t="shared" si="12"/>
        <v>1</v>
      </c>
      <c r="AM47" s="24">
        <f t="shared" si="13"/>
        <v>7</v>
      </c>
    </row>
    <row r="48">
      <c r="A48" s="15">
        <v>2010.0</v>
      </c>
      <c r="B48" s="15" t="s">
        <v>201</v>
      </c>
      <c r="C48" s="7" t="s">
        <v>66</v>
      </c>
      <c r="D48" s="15" t="s">
        <v>202</v>
      </c>
      <c r="E48" s="16" t="s">
        <v>55</v>
      </c>
      <c r="F48" s="16">
        <v>24.0</v>
      </c>
      <c r="G48" s="16">
        <v>28.0</v>
      </c>
      <c r="H48" s="18">
        <f t="shared" si="1"/>
        <v>0.8571428571</v>
      </c>
      <c r="I48" s="16">
        <v>0.0</v>
      </c>
      <c r="J48" s="16">
        <v>0.0</v>
      </c>
      <c r="K48" s="21" t="str">
        <f t="shared" si="2"/>
        <v/>
      </c>
      <c r="L48" s="16">
        <v>9.0</v>
      </c>
      <c r="M48" s="16">
        <v>9.0</v>
      </c>
      <c r="N48" s="21">
        <f t="shared" si="14"/>
        <v>0.8888888889</v>
      </c>
      <c r="O48" s="16">
        <v>7.0</v>
      </c>
      <c r="P48" s="16">
        <v>9.0</v>
      </c>
      <c r="Q48" s="21">
        <f t="shared" si="4"/>
        <v>0.7777777778</v>
      </c>
      <c r="R48" s="16">
        <v>8.0</v>
      </c>
      <c r="S48" s="16">
        <v>9.0</v>
      </c>
      <c r="T48" s="21">
        <f t="shared" si="5"/>
        <v>0.8888888889</v>
      </c>
      <c r="U48" s="16">
        <v>3.0</v>
      </c>
      <c r="V48" s="16">
        <v>4.0</v>
      </c>
      <c r="W48" s="21">
        <f t="shared" si="6"/>
        <v>0.75</v>
      </c>
      <c r="X48" s="16">
        <v>52.0</v>
      </c>
      <c r="Y48" s="16">
        <v>65.0</v>
      </c>
      <c r="Z48" s="16">
        <v>66.0</v>
      </c>
      <c r="AA48" s="13">
        <f t="shared" si="7"/>
        <v>0.9848484848</v>
      </c>
      <c r="AB48" s="16">
        <v>149.0</v>
      </c>
      <c r="AC48" s="16">
        <v>1.8</v>
      </c>
      <c r="AD48" s="16">
        <v>10.0</v>
      </c>
      <c r="AE48" s="16" t="s">
        <v>56</v>
      </c>
      <c r="AF48" s="16" t="s">
        <v>71</v>
      </c>
      <c r="AG48" s="16" t="s">
        <v>61</v>
      </c>
      <c r="AH48" s="24">
        <f t="shared" si="8"/>
        <v>2</v>
      </c>
      <c r="AI48" s="24">
        <f t="shared" si="9"/>
        <v>1</v>
      </c>
      <c r="AJ48" s="24">
        <f t="shared" si="10"/>
        <v>2</v>
      </c>
      <c r="AK48" s="24">
        <f t="shared" si="11"/>
        <v>1</v>
      </c>
      <c r="AL48" s="24">
        <f t="shared" si="12"/>
        <v>2</v>
      </c>
      <c r="AM48" s="24">
        <f t="shared" si="13"/>
        <v>8</v>
      </c>
    </row>
    <row r="49">
      <c r="A49" s="15">
        <v>2010.0</v>
      </c>
      <c r="B49" s="15" t="s">
        <v>154</v>
      </c>
      <c r="C49" s="7" t="s">
        <v>144</v>
      </c>
      <c r="D49" s="15" t="s">
        <v>203</v>
      </c>
      <c r="E49" s="16" t="s">
        <v>55</v>
      </c>
      <c r="F49" s="16">
        <v>28.0</v>
      </c>
      <c r="G49" s="16">
        <v>34.0</v>
      </c>
      <c r="H49" s="18">
        <f t="shared" si="1"/>
        <v>0.8235294118</v>
      </c>
      <c r="I49" s="16">
        <v>0.0</v>
      </c>
      <c r="J49" s="16">
        <v>0.0</v>
      </c>
      <c r="K49" s="21" t="str">
        <f t="shared" si="2"/>
        <v/>
      </c>
      <c r="L49" s="16">
        <v>8.0</v>
      </c>
      <c r="M49" s="16">
        <v>8.0</v>
      </c>
      <c r="N49" s="21">
        <f t="shared" si="14"/>
        <v>0.6363636364</v>
      </c>
      <c r="O49" s="16">
        <v>10.0</v>
      </c>
      <c r="P49" s="16">
        <v>11.0</v>
      </c>
      <c r="Q49" s="21">
        <f t="shared" si="4"/>
        <v>0.9090909091</v>
      </c>
      <c r="R49" s="16">
        <v>7.0</v>
      </c>
      <c r="S49" s="16">
        <v>11.0</v>
      </c>
      <c r="T49" s="21">
        <f t="shared" si="5"/>
        <v>0.6363636364</v>
      </c>
      <c r="U49" s="16">
        <v>3.0</v>
      </c>
      <c r="V49" s="16">
        <v>4.0</v>
      </c>
      <c r="W49" s="21">
        <f t="shared" si="6"/>
        <v>0.75</v>
      </c>
      <c r="X49" s="16">
        <v>53.0</v>
      </c>
      <c r="Y49" s="16">
        <v>36.0</v>
      </c>
      <c r="Z49" s="16">
        <v>37.0</v>
      </c>
      <c r="AA49" s="13">
        <f t="shared" si="7"/>
        <v>0.972972973</v>
      </c>
      <c r="AB49" s="16">
        <v>120.0</v>
      </c>
      <c r="AC49" s="16">
        <v>2.2</v>
      </c>
      <c r="AD49" s="16">
        <v>10.0</v>
      </c>
      <c r="AE49" s="16" t="s">
        <v>70</v>
      </c>
      <c r="AF49" s="16" t="s">
        <v>71</v>
      </c>
      <c r="AG49" s="16" t="s">
        <v>61</v>
      </c>
      <c r="AH49" s="24">
        <f t="shared" si="8"/>
        <v>2</v>
      </c>
      <c r="AI49" s="24">
        <f t="shared" si="9"/>
        <v>1</v>
      </c>
      <c r="AJ49" s="24">
        <f t="shared" si="10"/>
        <v>2</v>
      </c>
      <c r="AK49" s="24">
        <f t="shared" si="11"/>
        <v>1</v>
      </c>
      <c r="AL49" s="24">
        <f t="shared" si="12"/>
        <v>2</v>
      </c>
      <c r="AM49" s="24">
        <f t="shared" si="13"/>
        <v>8</v>
      </c>
    </row>
    <row r="50">
      <c r="A50" s="15">
        <v>2010.0</v>
      </c>
      <c r="B50" s="15" t="s">
        <v>204</v>
      </c>
      <c r="C50" s="7" t="s">
        <v>53</v>
      </c>
      <c r="D50" s="15" t="s">
        <v>205</v>
      </c>
      <c r="E50" s="16" t="s">
        <v>68</v>
      </c>
      <c r="F50" s="16">
        <v>26.0</v>
      </c>
      <c r="G50" s="16">
        <v>31.0</v>
      </c>
      <c r="H50" s="18">
        <f t="shared" si="1"/>
        <v>0.8387096774</v>
      </c>
      <c r="I50" s="16">
        <v>0.0</v>
      </c>
      <c r="J50" s="16">
        <v>0.0</v>
      </c>
      <c r="K50" s="21" t="str">
        <f t="shared" si="2"/>
        <v/>
      </c>
      <c r="L50" s="16">
        <v>10.0</v>
      </c>
      <c r="M50" s="16">
        <v>10.0</v>
      </c>
      <c r="N50" s="21">
        <f t="shared" si="14"/>
        <v>0.75</v>
      </c>
      <c r="O50" s="16">
        <v>10.0</v>
      </c>
      <c r="P50" s="16">
        <v>10.0</v>
      </c>
      <c r="Q50" s="21">
        <f t="shared" si="4"/>
        <v>1</v>
      </c>
      <c r="R50" s="16">
        <v>6.0</v>
      </c>
      <c r="S50" s="16">
        <v>8.0</v>
      </c>
      <c r="T50" s="21">
        <f t="shared" si="5"/>
        <v>0.75</v>
      </c>
      <c r="U50" s="16">
        <v>2.0</v>
      </c>
      <c r="V50" s="16">
        <v>3.0</v>
      </c>
      <c r="W50" s="21">
        <f t="shared" si="6"/>
        <v>0.6666666667</v>
      </c>
      <c r="X50" s="16">
        <v>54.0</v>
      </c>
      <c r="Y50" s="16">
        <v>51.0</v>
      </c>
      <c r="Z50" s="16">
        <v>51.0</v>
      </c>
      <c r="AA50" s="13">
        <f t="shared" si="7"/>
        <v>1</v>
      </c>
      <c r="AB50" s="16">
        <v>133.0</v>
      </c>
      <c r="AC50" s="16">
        <v>2.0</v>
      </c>
      <c r="AD50" s="16">
        <v>8.0</v>
      </c>
      <c r="AE50" s="16" t="s">
        <v>62</v>
      </c>
      <c r="AF50" s="16" t="s">
        <v>60</v>
      </c>
      <c r="AG50" s="16" t="s">
        <v>61</v>
      </c>
      <c r="AH50" s="24">
        <f t="shared" si="8"/>
        <v>2</v>
      </c>
      <c r="AI50" s="24">
        <f t="shared" si="9"/>
        <v>1</v>
      </c>
      <c r="AJ50" s="24">
        <f t="shared" si="10"/>
        <v>2</v>
      </c>
      <c r="AK50" s="24">
        <f t="shared" si="11"/>
        <v>1</v>
      </c>
      <c r="AL50" s="24">
        <f t="shared" si="12"/>
        <v>2</v>
      </c>
      <c r="AM50" s="24">
        <f t="shared" si="13"/>
        <v>8</v>
      </c>
    </row>
    <row r="51">
      <c r="A51" s="15">
        <v>2009.0</v>
      </c>
      <c r="B51" s="15" t="s">
        <v>182</v>
      </c>
      <c r="C51" s="7" t="s">
        <v>66</v>
      </c>
      <c r="D51" s="15" t="s">
        <v>206</v>
      </c>
      <c r="E51" s="16" t="s">
        <v>68</v>
      </c>
      <c r="F51" s="16">
        <v>26.0</v>
      </c>
      <c r="G51" s="16">
        <v>29.0</v>
      </c>
      <c r="H51" s="18">
        <f t="shared" si="1"/>
        <v>0.8965517241</v>
      </c>
      <c r="I51" s="16">
        <v>0.0</v>
      </c>
      <c r="J51" s="16">
        <v>0.0</v>
      </c>
      <c r="K51" s="21" t="str">
        <f t="shared" si="2"/>
        <v/>
      </c>
      <c r="L51" s="16">
        <v>8.0</v>
      </c>
      <c r="M51" s="16">
        <v>8.0</v>
      </c>
      <c r="N51" s="21">
        <f t="shared" si="14"/>
        <v>1</v>
      </c>
      <c r="O51" s="16">
        <v>11.0</v>
      </c>
      <c r="P51" s="16">
        <v>11.0</v>
      </c>
      <c r="Q51" s="21">
        <f t="shared" si="4"/>
        <v>1</v>
      </c>
      <c r="R51" s="16">
        <v>6.0</v>
      </c>
      <c r="S51" s="16">
        <v>6.0</v>
      </c>
      <c r="T51" s="21">
        <f t="shared" si="5"/>
        <v>1</v>
      </c>
      <c r="U51" s="16">
        <v>3.0</v>
      </c>
      <c r="V51" s="16">
        <v>6.0</v>
      </c>
      <c r="W51" s="21">
        <f t="shared" si="6"/>
        <v>0.5</v>
      </c>
      <c r="X51" s="16">
        <v>53.0</v>
      </c>
      <c r="Y51" s="16">
        <v>22.0</v>
      </c>
      <c r="Z51" s="16">
        <v>23.0</v>
      </c>
      <c r="AA51" s="13">
        <f t="shared" si="7"/>
        <v>0.9565217391</v>
      </c>
      <c r="AB51" s="16">
        <v>108.0</v>
      </c>
      <c r="AC51" s="16">
        <v>2.0</v>
      </c>
      <c r="AD51" s="16">
        <v>6.0</v>
      </c>
      <c r="AE51" s="16" t="s">
        <v>69</v>
      </c>
      <c r="AF51" s="16" t="s">
        <v>71</v>
      </c>
      <c r="AG51" s="16" t="s">
        <v>61</v>
      </c>
      <c r="AH51" s="24">
        <f t="shared" si="8"/>
        <v>2</v>
      </c>
      <c r="AI51" s="24">
        <f t="shared" si="9"/>
        <v>1</v>
      </c>
      <c r="AJ51" s="24">
        <f t="shared" si="10"/>
        <v>2</v>
      </c>
      <c r="AK51" s="24">
        <f t="shared" si="11"/>
        <v>1</v>
      </c>
      <c r="AL51" s="24">
        <f t="shared" si="12"/>
        <v>2</v>
      </c>
      <c r="AM51" s="24">
        <f t="shared" si="13"/>
        <v>8</v>
      </c>
    </row>
    <row r="52">
      <c r="A52" s="15">
        <v>2009.0</v>
      </c>
      <c r="B52" s="15" t="s">
        <v>128</v>
      </c>
      <c r="C52" s="7" t="s">
        <v>53</v>
      </c>
      <c r="D52" s="15" t="s">
        <v>207</v>
      </c>
      <c r="E52" s="16" t="s">
        <v>109</v>
      </c>
      <c r="F52" s="16">
        <v>20.0</v>
      </c>
      <c r="G52" s="16">
        <v>22.0</v>
      </c>
      <c r="H52" s="18">
        <f t="shared" si="1"/>
        <v>0.9090909091</v>
      </c>
      <c r="I52" s="16">
        <v>0.0</v>
      </c>
      <c r="J52" s="16">
        <v>0.0</v>
      </c>
      <c r="K52" s="21" t="str">
        <f t="shared" si="2"/>
        <v/>
      </c>
      <c r="L52" s="16">
        <v>4.0</v>
      </c>
      <c r="M52" s="16">
        <v>4.0</v>
      </c>
      <c r="N52" s="21">
        <f t="shared" si="14"/>
        <v>1</v>
      </c>
      <c r="O52" s="16">
        <v>5.0</v>
      </c>
      <c r="P52" s="16">
        <v>6.0</v>
      </c>
      <c r="Q52" s="21">
        <f t="shared" si="4"/>
        <v>0.8333333333</v>
      </c>
      <c r="R52" s="16">
        <v>7.0</v>
      </c>
      <c r="S52" s="16">
        <v>7.0</v>
      </c>
      <c r="T52" s="21">
        <f t="shared" si="5"/>
        <v>1</v>
      </c>
      <c r="U52" s="16">
        <v>4.0</v>
      </c>
      <c r="V52" s="16">
        <v>5.0</v>
      </c>
      <c r="W52" s="21">
        <f t="shared" si="6"/>
        <v>0.8</v>
      </c>
      <c r="X52" s="16">
        <v>53.0</v>
      </c>
      <c r="Y52" s="16">
        <v>42.0</v>
      </c>
      <c r="Z52" s="16">
        <v>42.0</v>
      </c>
      <c r="AA52" s="13">
        <f t="shared" si="7"/>
        <v>1</v>
      </c>
      <c r="AB52" s="16">
        <v>102.0</v>
      </c>
      <c r="AC52" s="16">
        <v>1.5</v>
      </c>
      <c r="AD52" s="16">
        <v>7.0</v>
      </c>
      <c r="AE52" s="16" t="s">
        <v>70</v>
      </c>
      <c r="AF52" s="16" t="s">
        <v>71</v>
      </c>
      <c r="AG52" s="16" t="s">
        <v>61</v>
      </c>
      <c r="AH52" s="24">
        <f t="shared" si="8"/>
        <v>1</v>
      </c>
      <c r="AI52" s="24">
        <f t="shared" si="9"/>
        <v>1</v>
      </c>
      <c r="AJ52" s="24">
        <f t="shared" si="10"/>
        <v>2</v>
      </c>
      <c r="AK52" s="24">
        <f t="shared" si="11"/>
        <v>1</v>
      </c>
      <c r="AL52" s="24">
        <f t="shared" si="12"/>
        <v>1</v>
      </c>
      <c r="AM52" s="24">
        <f t="shared" si="13"/>
        <v>6</v>
      </c>
    </row>
    <row r="53">
      <c r="A53" s="15">
        <v>2008.0</v>
      </c>
      <c r="B53" s="15" t="s">
        <v>208</v>
      </c>
      <c r="C53" s="7" t="s">
        <v>53</v>
      </c>
      <c r="D53" s="15" t="s">
        <v>209</v>
      </c>
      <c r="E53" s="16" t="s">
        <v>68</v>
      </c>
      <c r="F53" s="16">
        <v>17.0</v>
      </c>
      <c r="G53" s="16">
        <v>19.0</v>
      </c>
      <c r="H53" s="18">
        <f t="shared" si="1"/>
        <v>0.8947368421</v>
      </c>
      <c r="I53" s="16">
        <v>0.0</v>
      </c>
      <c r="J53" s="16">
        <v>0.0</v>
      </c>
      <c r="K53" s="21" t="str">
        <f t="shared" si="2"/>
        <v/>
      </c>
      <c r="L53" s="16">
        <v>6.0</v>
      </c>
      <c r="M53" s="16">
        <v>7.0</v>
      </c>
      <c r="N53" s="21">
        <f t="shared" si="14"/>
        <v>0.8</v>
      </c>
      <c r="O53" s="16">
        <v>7.0</v>
      </c>
      <c r="P53" s="16">
        <v>7.0</v>
      </c>
      <c r="Q53" s="21">
        <f t="shared" si="4"/>
        <v>1</v>
      </c>
      <c r="R53" s="16">
        <v>4.0</v>
      </c>
      <c r="S53" s="16">
        <v>5.0</v>
      </c>
      <c r="T53" s="21">
        <f t="shared" si="5"/>
        <v>0.8</v>
      </c>
      <c r="U53" s="16">
        <v>0.0</v>
      </c>
      <c r="V53" s="16">
        <v>0.0</v>
      </c>
      <c r="W53" s="21" t="str">
        <f t="shared" si="6"/>
        <v/>
      </c>
      <c r="X53" s="16">
        <v>44.0</v>
      </c>
      <c r="Y53" s="16">
        <v>37.0</v>
      </c>
      <c r="Z53" s="16">
        <v>38.0</v>
      </c>
      <c r="AA53" s="13">
        <f t="shared" si="7"/>
        <v>0.9736842105</v>
      </c>
      <c r="AB53" s="16">
        <v>88.0</v>
      </c>
      <c r="AC53" s="16">
        <v>1.4</v>
      </c>
      <c r="AD53" s="16">
        <v>6.0</v>
      </c>
      <c r="AE53" s="16" t="s">
        <v>74</v>
      </c>
      <c r="AF53" s="16" t="s">
        <v>60</v>
      </c>
      <c r="AG53" s="16" t="s">
        <v>61</v>
      </c>
      <c r="AH53" s="24">
        <f t="shared" si="8"/>
        <v>1</v>
      </c>
      <c r="AI53" s="24">
        <f t="shared" si="9"/>
        <v>1</v>
      </c>
      <c r="AJ53" s="24">
        <f t="shared" si="10"/>
        <v>0</v>
      </c>
      <c r="AK53" s="24">
        <f t="shared" si="11"/>
        <v>0</v>
      </c>
      <c r="AL53" s="24">
        <f t="shared" si="12"/>
        <v>1</v>
      </c>
      <c r="AM53" s="24">
        <f t="shared" si="13"/>
        <v>3</v>
      </c>
    </row>
    <row r="54">
      <c r="A54" s="15">
        <v>2008.0</v>
      </c>
      <c r="B54" s="15" t="s">
        <v>153</v>
      </c>
      <c r="C54" s="7" t="s">
        <v>66</v>
      </c>
      <c r="D54" s="15" t="s">
        <v>210</v>
      </c>
      <c r="E54" s="16" t="s">
        <v>55</v>
      </c>
      <c r="F54" s="16">
        <v>24.0</v>
      </c>
      <c r="G54" s="16">
        <v>26.0</v>
      </c>
      <c r="H54" s="18">
        <f t="shared" si="1"/>
        <v>0.9230769231</v>
      </c>
      <c r="I54" s="16">
        <v>0.0</v>
      </c>
      <c r="J54" s="16">
        <v>0.0</v>
      </c>
      <c r="K54" s="21" t="str">
        <f t="shared" si="2"/>
        <v/>
      </c>
      <c r="L54" s="16">
        <v>3.0</v>
      </c>
      <c r="M54" s="16">
        <v>3.0</v>
      </c>
      <c r="N54" s="21">
        <f t="shared" si="14"/>
        <v>1</v>
      </c>
      <c r="O54" s="16">
        <v>11.0</v>
      </c>
      <c r="P54" s="16">
        <v>11.0</v>
      </c>
      <c r="Q54" s="21">
        <f t="shared" si="4"/>
        <v>1</v>
      </c>
      <c r="R54" s="16">
        <v>5.0</v>
      </c>
      <c r="S54" s="16">
        <v>5.0</v>
      </c>
      <c r="T54" s="21">
        <f t="shared" si="5"/>
        <v>1</v>
      </c>
      <c r="U54" s="16">
        <v>5.0</v>
      </c>
      <c r="V54" s="16">
        <v>7.0</v>
      </c>
      <c r="W54" s="21">
        <f t="shared" si="6"/>
        <v>0.7142857143</v>
      </c>
      <c r="X54" s="16">
        <v>53.0</v>
      </c>
      <c r="Y54" s="16">
        <v>27.0</v>
      </c>
      <c r="Z54" s="16">
        <v>28.0</v>
      </c>
      <c r="AA54" s="13">
        <f t="shared" si="7"/>
        <v>0.9642857143</v>
      </c>
      <c r="AB54" s="16">
        <v>105.0</v>
      </c>
      <c r="AC54" s="16">
        <v>1.8</v>
      </c>
      <c r="AD54" s="16">
        <v>8.0</v>
      </c>
      <c r="AE54" s="16" t="s">
        <v>17</v>
      </c>
      <c r="AF54" s="16" t="s">
        <v>71</v>
      </c>
      <c r="AG54" s="16" t="s">
        <v>61</v>
      </c>
      <c r="AH54" s="24">
        <f t="shared" si="8"/>
        <v>2</v>
      </c>
      <c r="AI54" s="24">
        <f t="shared" si="9"/>
        <v>2</v>
      </c>
      <c r="AJ54" s="24">
        <f t="shared" si="10"/>
        <v>2</v>
      </c>
      <c r="AK54" s="24">
        <f t="shared" si="11"/>
        <v>1</v>
      </c>
      <c r="AL54" s="24">
        <f t="shared" si="12"/>
        <v>2</v>
      </c>
      <c r="AM54" s="24">
        <f t="shared" si="13"/>
        <v>9</v>
      </c>
    </row>
    <row r="55">
      <c r="A55" s="15">
        <v>2008.0</v>
      </c>
      <c r="B55" s="15" t="s">
        <v>172</v>
      </c>
      <c r="C55" s="7" t="s">
        <v>53</v>
      </c>
      <c r="D55" s="15" t="s">
        <v>211</v>
      </c>
      <c r="E55" s="16" t="s">
        <v>55</v>
      </c>
      <c r="F55" s="16">
        <v>22.0</v>
      </c>
      <c r="G55" s="16">
        <v>24.0</v>
      </c>
      <c r="H55" s="18">
        <f t="shared" si="1"/>
        <v>0.9166666667</v>
      </c>
      <c r="I55" s="16">
        <v>0.0</v>
      </c>
      <c r="J55" s="16">
        <v>0.0</v>
      </c>
      <c r="K55" s="21" t="str">
        <f t="shared" si="2"/>
        <v/>
      </c>
      <c r="L55" s="16">
        <v>4.0</v>
      </c>
      <c r="M55" s="16">
        <v>4.0</v>
      </c>
      <c r="N55" s="21">
        <f t="shared" si="14"/>
        <v>0.8571428571</v>
      </c>
      <c r="O55" s="16">
        <v>10.0</v>
      </c>
      <c r="P55" s="16">
        <v>10.0</v>
      </c>
      <c r="Q55" s="21">
        <f t="shared" si="4"/>
        <v>1</v>
      </c>
      <c r="R55" s="16">
        <v>6.0</v>
      </c>
      <c r="S55" s="16">
        <v>7.0</v>
      </c>
      <c r="T55" s="21">
        <f t="shared" si="5"/>
        <v>0.8571428571</v>
      </c>
      <c r="U55" s="16">
        <v>2.0</v>
      </c>
      <c r="V55" s="16">
        <v>3.0</v>
      </c>
      <c r="W55" s="21">
        <f t="shared" si="6"/>
        <v>0.6666666667</v>
      </c>
      <c r="X55" s="16">
        <v>53.0</v>
      </c>
      <c r="Y55" s="16">
        <v>56.0</v>
      </c>
      <c r="Z55" s="16">
        <v>57.0</v>
      </c>
      <c r="AA55" s="13">
        <f t="shared" si="7"/>
        <v>0.9824561404</v>
      </c>
      <c r="AB55" s="16">
        <v>122.0</v>
      </c>
      <c r="AC55" s="16">
        <v>1.7</v>
      </c>
      <c r="AD55" s="16">
        <v>12.0</v>
      </c>
      <c r="AE55" s="16" t="s">
        <v>59</v>
      </c>
      <c r="AF55" s="16" t="s">
        <v>60</v>
      </c>
      <c r="AG55" s="16" t="s">
        <v>61</v>
      </c>
      <c r="AH55" s="24">
        <f t="shared" si="8"/>
        <v>1</v>
      </c>
      <c r="AI55" s="24">
        <f t="shared" si="9"/>
        <v>2</v>
      </c>
      <c r="AJ55" s="24">
        <f t="shared" si="10"/>
        <v>2</v>
      </c>
      <c r="AK55" s="24">
        <f t="shared" si="11"/>
        <v>1</v>
      </c>
      <c r="AL55" s="24">
        <f t="shared" si="12"/>
        <v>1</v>
      </c>
      <c r="AM55" s="24">
        <f t="shared" si="13"/>
        <v>7</v>
      </c>
    </row>
    <row r="56">
      <c r="A56" s="15">
        <v>2007.0</v>
      </c>
      <c r="B56" s="15" t="s">
        <v>212</v>
      </c>
      <c r="C56" s="7" t="s">
        <v>53</v>
      </c>
      <c r="D56" s="15" t="s">
        <v>213</v>
      </c>
      <c r="E56" s="16" t="s">
        <v>68</v>
      </c>
      <c r="F56" s="16">
        <v>21.0</v>
      </c>
      <c r="G56" s="16">
        <v>23.0</v>
      </c>
      <c r="H56" s="18">
        <f t="shared" si="1"/>
        <v>0.9130434783</v>
      </c>
      <c r="I56" s="16">
        <v>0.0</v>
      </c>
      <c r="J56" s="16">
        <v>0.0</v>
      </c>
      <c r="K56" s="21" t="str">
        <f t="shared" si="2"/>
        <v/>
      </c>
      <c r="L56" s="16">
        <v>4.0</v>
      </c>
      <c r="M56" s="16">
        <v>4.0</v>
      </c>
      <c r="N56" s="21">
        <f t="shared" si="14"/>
        <v>0.9166666667</v>
      </c>
      <c r="O56" s="16">
        <v>6.0</v>
      </c>
      <c r="P56" s="16">
        <v>7.0</v>
      </c>
      <c r="Q56" s="21">
        <f t="shared" si="4"/>
        <v>0.8571428571</v>
      </c>
      <c r="R56" s="16">
        <v>11.0</v>
      </c>
      <c r="S56" s="16">
        <v>12.0</v>
      </c>
      <c r="T56" s="21">
        <f t="shared" si="5"/>
        <v>0.9166666667</v>
      </c>
      <c r="U56" s="16">
        <v>0.0</v>
      </c>
      <c r="V56" s="16">
        <v>0.0</v>
      </c>
      <c r="W56" s="21" t="str">
        <f t="shared" si="6"/>
        <v/>
      </c>
      <c r="X56" s="16">
        <v>49.0</v>
      </c>
      <c r="Y56" s="16">
        <v>48.0</v>
      </c>
      <c r="Z56" s="16">
        <v>48.0</v>
      </c>
      <c r="AA56" s="13">
        <f t="shared" si="7"/>
        <v>1</v>
      </c>
      <c r="AB56" s="16">
        <v>111.0</v>
      </c>
      <c r="AC56" s="16">
        <v>1.6</v>
      </c>
      <c r="AD56" s="16">
        <v>7.0</v>
      </c>
      <c r="AE56" s="16" t="s">
        <v>58</v>
      </c>
      <c r="AF56" s="16" t="s">
        <v>71</v>
      </c>
      <c r="AG56" s="16" t="s">
        <v>61</v>
      </c>
      <c r="AH56" s="24">
        <f t="shared" si="8"/>
        <v>1</v>
      </c>
      <c r="AI56" s="24">
        <f t="shared" si="9"/>
        <v>1</v>
      </c>
      <c r="AJ56" s="24">
        <f t="shared" si="10"/>
        <v>0</v>
      </c>
      <c r="AK56" s="24">
        <f t="shared" si="11"/>
        <v>1</v>
      </c>
      <c r="AL56" s="24">
        <f t="shared" si="12"/>
        <v>1</v>
      </c>
      <c r="AM56" s="24">
        <f t="shared" si="13"/>
        <v>4</v>
      </c>
    </row>
    <row r="57">
      <c r="A57" s="15">
        <v>2007.0</v>
      </c>
      <c r="B57" s="15" t="s">
        <v>214</v>
      </c>
      <c r="C57" s="7" t="s">
        <v>144</v>
      </c>
      <c r="D57" s="15" t="s">
        <v>215</v>
      </c>
      <c r="E57" s="16" t="s">
        <v>55</v>
      </c>
      <c r="F57" s="16">
        <v>29.0</v>
      </c>
      <c r="G57" s="16">
        <v>35.0</v>
      </c>
      <c r="H57" s="18">
        <f t="shared" si="1"/>
        <v>0.8285714286</v>
      </c>
      <c r="I57" s="16">
        <v>0.0</v>
      </c>
      <c r="J57" s="16">
        <v>0.0</v>
      </c>
      <c r="K57" s="21" t="str">
        <f t="shared" si="2"/>
        <v/>
      </c>
      <c r="L57" s="16">
        <v>4.0</v>
      </c>
      <c r="M57" s="16">
        <v>5.0</v>
      </c>
      <c r="N57" s="21">
        <f t="shared" si="14"/>
        <v>0.8333333333</v>
      </c>
      <c r="O57" s="16">
        <v>14.0</v>
      </c>
      <c r="P57" s="16">
        <v>17.0</v>
      </c>
      <c r="Q57" s="21">
        <f t="shared" si="4"/>
        <v>0.8235294118</v>
      </c>
      <c r="R57" s="16">
        <v>10.0</v>
      </c>
      <c r="S57" s="16">
        <v>12.0</v>
      </c>
      <c r="T57" s="21">
        <f t="shared" si="5"/>
        <v>0.8333333333</v>
      </c>
      <c r="U57" s="16">
        <v>1.0</v>
      </c>
      <c r="V57" s="16">
        <v>1.0</v>
      </c>
      <c r="W57" s="21">
        <f t="shared" si="6"/>
        <v>1</v>
      </c>
      <c r="X57" s="16">
        <v>53.0</v>
      </c>
      <c r="Y57" s="16">
        <v>30.0</v>
      </c>
      <c r="Z57" s="16">
        <v>31.0</v>
      </c>
      <c r="AA57" s="13">
        <f t="shared" si="7"/>
        <v>0.9677419355</v>
      </c>
      <c r="AB57" s="16">
        <v>117.0</v>
      </c>
      <c r="AC57" s="16">
        <v>2.2</v>
      </c>
      <c r="AD57" s="16">
        <v>8.0</v>
      </c>
      <c r="AE57" s="16" t="s">
        <v>59</v>
      </c>
      <c r="AF57" s="16" t="s">
        <v>60</v>
      </c>
      <c r="AG57" s="16" t="s">
        <v>61</v>
      </c>
      <c r="AH57" s="24">
        <f t="shared" si="8"/>
        <v>2</v>
      </c>
      <c r="AI57" s="24">
        <f t="shared" si="9"/>
        <v>1</v>
      </c>
      <c r="AJ57" s="24">
        <f t="shared" si="10"/>
        <v>1</v>
      </c>
      <c r="AK57" s="24">
        <f t="shared" si="11"/>
        <v>1</v>
      </c>
      <c r="AL57" s="24">
        <f t="shared" si="12"/>
        <v>2</v>
      </c>
      <c r="AM57" s="24">
        <f t="shared" si="13"/>
        <v>7</v>
      </c>
    </row>
    <row r="58">
      <c r="A58" s="15">
        <v>2007.0</v>
      </c>
      <c r="B58" s="15" t="s">
        <v>179</v>
      </c>
      <c r="C58" s="7" t="s">
        <v>66</v>
      </c>
      <c r="D58" s="15" t="s">
        <v>216</v>
      </c>
      <c r="E58" s="16" t="s">
        <v>139</v>
      </c>
      <c r="F58" s="16">
        <v>22.0</v>
      </c>
      <c r="G58" s="16">
        <v>23.0</v>
      </c>
      <c r="H58" s="18">
        <f t="shared" si="1"/>
        <v>0.9565217391</v>
      </c>
      <c r="I58" s="16">
        <v>4.0</v>
      </c>
      <c r="J58" s="16">
        <v>4.0</v>
      </c>
      <c r="K58" s="21">
        <f t="shared" si="2"/>
        <v>1</v>
      </c>
      <c r="L58" s="16">
        <v>5.0</v>
      </c>
      <c r="M58" s="16">
        <v>5.0</v>
      </c>
      <c r="N58" s="21">
        <f t="shared" si="14"/>
        <v>1</v>
      </c>
      <c r="O58" s="16">
        <v>8.0</v>
      </c>
      <c r="P58" s="16">
        <v>9.0</v>
      </c>
      <c r="Q58" s="21">
        <f t="shared" si="4"/>
        <v>0.8888888889</v>
      </c>
      <c r="R58" s="16">
        <v>5.0</v>
      </c>
      <c r="S58" s="16">
        <v>5.0</v>
      </c>
      <c r="T58" s="21">
        <f t="shared" si="5"/>
        <v>1</v>
      </c>
      <c r="U58" s="16">
        <v>2.0</v>
      </c>
      <c r="V58" s="16">
        <v>2.0</v>
      </c>
      <c r="W58" s="21">
        <f t="shared" si="6"/>
        <v>1</v>
      </c>
      <c r="X58" s="16">
        <v>53.0</v>
      </c>
      <c r="Y58" s="16">
        <v>42.0</v>
      </c>
      <c r="Z58" s="16">
        <v>44.0</v>
      </c>
      <c r="AA58" s="13">
        <f t="shared" si="7"/>
        <v>0.9545454545</v>
      </c>
      <c r="AB58" s="16">
        <v>118.0</v>
      </c>
      <c r="AC58" s="16">
        <v>1.7</v>
      </c>
      <c r="AD58" s="16">
        <v>10.0</v>
      </c>
      <c r="AE58" s="16" t="s">
        <v>69</v>
      </c>
      <c r="AF58" s="16" t="s">
        <v>71</v>
      </c>
      <c r="AG58" s="16" t="s">
        <v>61</v>
      </c>
      <c r="AH58" s="24">
        <f t="shared" si="8"/>
        <v>1</v>
      </c>
      <c r="AI58" s="24">
        <f t="shared" si="9"/>
        <v>2</v>
      </c>
      <c r="AJ58" s="24">
        <f t="shared" si="10"/>
        <v>2</v>
      </c>
      <c r="AK58" s="24">
        <f t="shared" si="11"/>
        <v>1</v>
      </c>
      <c r="AL58" s="24">
        <f t="shared" si="12"/>
        <v>1</v>
      </c>
      <c r="AM58" s="24">
        <f t="shared" si="13"/>
        <v>7</v>
      </c>
    </row>
    <row r="59">
      <c r="A59" s="15">
        <v>2007.0</v>
      </c>
      <c r="B59" s="15" t="s">
        <v>217</v>
      </c>
      <c r="C59" s="7" t="s">
        <v>53</v>
      </c>
      <c r="D59" s="15" t="s">
        <v>218</v>
      </c>
      <c r="E59" s="16" t="s">
        <v>68</v>
      </c>
      <c r="F59" s="16">
        <v>17.0</v>
      </c>
      <c r="G59" s="16">
        <v>20.0</v>
      </c>
      <c r="H59" s="18">
        <f t="shared" si="1"/>
        <v>0.85</v>
      </c>
      <c r="I59" s="16">
        <v>0.0</v>
      </c>
      <c r="J59" s="16">
        <v>0.0</v>
      </c>
      <c r="K59" s="21" t="str">
        <f t="shared" si="2"/>
        <v/>
      </c>
      <c r="L59" s="16">
        <v>4.0</v>
      </c>
      <c r="M59" s="16">
        <v>4.0</v>
      </c>
      <c r="N59" s="21">
        <f t="shared" si="14"/>
        <v>1</v>
      </c>
      <c r="O59" s="16">
        <v>4.0</v>
      </c>
      <c r="P59" s="16">
        <v>5.0</v>
      </c>
      <c r="Q59" s="21">
        <f t="shared" si="4"/>
        <v>0.8</v>
      </c>
      <c r="R59" s="16">
        <v>7.0</v>
      </c>
      <c r="S59" s="16">
        <v>7.0</v>
      </c>
      <c r="T59" s="21">
        <f t="shared" si="5"/>
        <v>1</v>
      </c>
      <c r="U59" s="16">
        <v>2.0</v>
      </c>
      <c r="V59" s="16">
        <v>4.0</v>
      </c>
      <c r="W59" s="21">
        <f t="shared" si="6"/>
        <v>0.5</v>
      </c>
      <c r="X59" s="16">
        <v>57.0</v>
      </c>
      <c r="Y59" s="16">
        <v>44.0</v>
      </c>
      <c r="Z59" s="16">
        <v>46.0</v>
      </c>
      <c r="AA59" s="13">
        <f t="shared" si="7"/>
        <v>0.9565217391</v>
      </c>
      <c r="AB59" s="16">
        <v>95.0</v>
      </c>
      <c r="AC59" s="16">
        <v>1.4</v>
      </c>
      <c r="AD59" s="16">
        <v>4.0</v>
      </c>
      <c r="AE59" s="16" t="s">
        <v>62</v>
      </c>
      <c r="AF59" s="16" t="s">
        <v>60</v>
      </c>
      <c r="AG59" s="16" t="s">
        <v>61</v>
      </c>
      <c r="AH59" s="24">
        <f t="shared" si="8"/>
        <v>1</v>
      </c>
      <c r="AI59" s="24">
        <f t="shared" si="9"/>
        <v>1</v>
      </c>
      <c r="AJ59" s="24">
        <f t="shared" si="10"/>
        <v>2</v>
      </c>
      <c r="AK59" s="24">
        <f t="shared" si="11"/>
        <v>2</v>
      </c>
      <c r="AL59" s="24">
        <f t="shared" si="12"/>
        <v>1</v>
      </c>
      <c r="AM59" s="24">
        <f t="shared" si="13"/>
        <v>7</v>
      </c>
    </row>
    <row r="60">
      <c r="A60" s="15">
        <v>2006.0</v>
      </c>
      <c r="B60" s="15" t="s">
        <v>65</v>
      </c>
      <c r="C60" s="7" t="s">
        <v>53</v>
      </c>
      <c r="D60" s="15" t="s">
        <v>219</v>
      </c>
      <c r="E60" s="16" t="s">
        <v>68</v>
      </c>
      <c r="F60" s="16">
        <v>19.0</v>
      </c>
      <c r="G60" s="16">
        <v>20.0</v>
      </c>
      <c r="H60" s="18">
        <f t="shared" si="1"/>
        <v>0.95</v>
      </c>
      <c r="I60" s="16">
        <v>0.0</v>
      </c>
      <c r="J60" s="16">
        <v>0.0</v>
      </c>
      <c r="K60" s="21" t="str">
        <f t="shared" si="2"/>
        <v/>
      </c>
      <c r="L60" s="16">
        <v>8.0</v>
      </c>
      <c r="M60" s="16">
        <v>8.0</v>
      </c>
      <c r="N60" s="21">
        <f t="shared" si="14"/>
        <v>0.8</v>
      </c>
      <c r="O60" s="16">
        <v>7.0</v>
      </c>
      <c r="P60" s="16">
        <v>7.0</v>
      </c>
      <c r="Q60" s="21">
        <f t="shared" si="4"/>
        <v>1</v>
      </c>
      <c r="R60" s="16">
        <v>4.0</v>
      </c>
      <c r="S60" s="16">
        <v>5.0</v>
      </c>
      <c r="T60" s="21">
        <f t="shared" si="5"/>
        <v>0.8</v>
      </c>
      <c r="U60" s="16">
        <v>0.0</v>
      </c>
      <c r="V60" s="16">
        <v>0.0</v>
      </c>
      <c r="W60" s="21" t="str">
        <f t="shared" si="6"/>
        <v/>
      </c>
      <c r="X60" s="16">
        <v>46.0</v>
      </c>
      <c r="Y60" s="16">
        <v>49.0</v>
      </c>
      <c r="Z60" s="16">
        <v>50.0</v>
      </c>
      <c r="AA60" s="13">
        <f t="shared" si="7"/>
        <v>0.98</v>
      </c>
      <c r="AB60" s="16">
        <v>106.0</v>
      </c>
      <c r="AC60" s="16">
        <v>1.4</v>
      </c>
      <c r="AD60" s="16">
        <v>10.0</v>
      </c>
      <c r="AE60" s="16" t="s">
        <v>56</v>
      </c>
      <c r="AF60" s="16" t="s">
        <v>71</v>
      </c>
      <c r="AG60" s="16" t="s">
        <v>61</v>
      </c>
      <c r="AH60" s="24">
        <f t="shared" si="8"/>
        <v>1</v>
      </c>
      <c r="AI60" s="24">
        <f t="shared" si="9"/>
        <v>2</v>
      </c>
      <c r="AJ60" s="24">
        <f t="shared" si="10"/>
        <v>0</v>
      </c>
      <c r="AK60" s="24">
        <f t="shared" si="11"/>
        <v>0</v>
      </c>
      <c r="AL60" s="24">
        <f t="shared" si="12"/>
        <v>1</v>
      </c>
      <c r="AM60" s="24">
        <f t="shared" si="13"/>
        <v>4</v>
      </c>
    </row>
    <row r="61">
      <c r="A61" s="15">
        <v>2006.0</v>
      </c>
      <c r="B61" s="15" t="s">
        <v>182</v>
      </c>
      <c r="C61" s="7" t="s">
        <v>144</v>
      </c>
      <c r="D61" s="15" t="s">
        <v>220</v>
      </c>
      <c r="E61" s="16" t="s">
        <v>55</v>
      </c>
      <c r="F61" s="16">
        <v>28.0</v>
      </c>
      <c r="G61" s="16">
        <v>32.0</v>
      </c>
      <c r="H61" s="18">
        <f t="shared" si="1"/>
        <v>0.875</v>
      </c>
      <c r="I61" s="16">
        <v>1.0</v>
      </c>
      <c r="J61" s="16">
        <v>1.0</v>
      </c>
      <c r="K61" s="21">
        <f t="shared" si="2"/>
        <v>0.625</v>
      </c>
      <c r="L61" s="16">
        <v>11.0</v>
      </c>
      <c r="M61" s="16">
        <v>11.0</v>
      </c>
      <c r="N61" s="21">
        <f t="shared" si="14"/>
        <v>0.625</v>
      </c>
      <c r="O61" s="16">
        <v>9.0</v>
      </c>
      <c r="P61" s="16">
        <v>10.0</v>
      </c>
      <c r="Q61" s="21">
        <f t="shared" si="4"/>
        <v>0.9</v>
      </c>
      <c r="R61" s="16">
        <v>5.0</v>
      </c>
      <c r="S61" s="16">
        <v>8.0</v>
      </c>
      <c r="T61" s="21">
        <f t="shared" si="5"/>
        <v>0.625</v>
      </c>
      <c r="U61" s="16">
        <v>2.0</v>
      </c>
      <c r="V61" s="16">
        <v>2.0</v>
      </c>
      <c r="W61" s="21">
        <f t="shared" si="6"/>
        <v>1</v>
      </c>
      <c r="X61" s="16">
        <v>51.0</v>
      </c>
      <c r="Y61" s="16">
        <v>29.0</v>
      </c>
      <c r="Z61" s="16">
        <v>29.0</v>
      </c>
      <c r="AA61" s="13">
        <f t="shared" si="7"/>
        <v>1</v>
      </c>
      <c r="AB61" s="16">
        <v>113.0</v>
      </c>
      <c r="AC61" s="16">
        <v>2.2</v>
      </c>
      <c r="AD61" s="16">
        <v>7.0</v>
      </c>
      <c r="AE61" s="16" t="s">
        <v>69</v>
      </c>
      <c r="AF61" s="16" t="s">
        <v>71</v>
      </c>
      <c r="AG61" s="16" t="s">
        <v>61</v>
      </c>
      <c r="AH61" s="24">
        <f t="shared" si="8"/>
        <v>2</v>
      </c>
      <c r="AI61" s="24">
        <f t="shared" si="9"/>
        <v>1</v>
      </c>
      <c r="AJ61" s="24">
        <f t="shared" si="10"/>
        <v>2</v>
      </c>
      <c r="AK61" s="24">
        <f t="shared" si="11"/>
        <v>1</v>
      </c>
      <c r="AL61" s="24">
        <f t="shared" si="12"/>
        <v>2</v>
      </c>
      <c r="AM61" s="24">
        <f t="shared" si="13"/>
        <v>8</v>
      </c>
    </row>
    <row r="62">
      <c r="A62" s="15">
        <v>2006.0</v>
      </c>
      <c r="B62" s="15" t="s">
        <v>221</v>
      </c>
      <c r="C62" s="7" t="s">
        <v>66</v>
      </c>
      <c r="D62" s="15" t="s">
        <v>222</v>
      </c>
      <c r="E62" s="16" t="s">
        <v>109</v>
      </c>
      <c r="F62" s="16">
        <v>20.0</v>
      </c>
      <c r="G62" s="16">
        <v>23.0</v>
      </c>
      <c r="H62" s="18">
        <f t="shared" si="1"/>
        <v>0.8695652174</v>
      </c>
      <c r="I62" s="16">
        <v>1.0</v>
      </c>
      <c r="J62" s="16">
        <v>1.0</v>
      </c>
      <c r="K62" s="21">
        <f t="shared" si="2"/>
        <v>1</v>
      </c>
      <c r="L62" s="16">
        <v>7.0</v>
      </c>
      <c r="M62" s="16">
        <v>7.0</v>
      </c>
      <c r="N62" s="21">
        <f t="shared" si="14"/>
        <v>1</v>
      </c>
      <c r="O62" s="16">
        <v>8.0</v>
      </c>
      <c r="P62" s="16">
        <v>12.0</v>
      </c>
      <c r="Q62" s="21">
        <f t="shared" si="4"/>
        <v>0.6666666667</v>
      </c>
      <c r="R62" s="16">
        <v>4.0</v>
      </c>
      <c r="S62" s="16">
        <v>4.0</v>
      </c>
      <c r="T62" s="21">
        <f t="shared" si="5"/>
        <v>1</v>
      </c>
      <c r="U62" s="16">
        <v>1.0</v>
      </c>
      <c r="V62" s="16">
        <v>1.0</v>
      </c>
      <c r="W62" s="21">
        <f t="shared" si="6"/>
        <v>1</v>
      </c>
      <c r="X62" s="16">
        <v>51.0</v>
      </c>
      <c r="Y62" s="16">
        <v>57.0</v>
      </c>
      <c r="Z62" s="16">
        <v>57.0</v>
      </c>
      <c r="AA62" s="13">
        <f t="shared" si="7"/>
        <v>1</v>
      </c>
      <c r="AB62" s="16">
        <v>123.0</v>
      </c>
      <c r="AC62" s="16">
        <v>1.5</v>
      </c>
      <c r="AD62" s="16">
        <v>11.0</v>
      </c>
      <c r="AE62" s="16" t="s">
        <v>57</v>
      </c>
      <c r="AF62" s="16" t="s">
        <v>71</v>
      </c>
      <c r="AG62" s="16" t="s">
        <v>61</v>
      </c>
      <c r="AH62" s="24">
        <f t="shared" si="8"/>
        <v>1</v>
      </c>
      <c r="AI62" s="24">
        <f t="shared" si="9"/>
        <v>1</v>
      </c>
      <c r="AJ62" s="24">
        <f t="shared" si="10"/>
        <v>1</v>
      </c>
      <c r="AK62" s="24">
        <f t="shared" si="11"/>
        <v>1</v>
      </c>
      <c r="AL62" s="24">
        <f t="shared" si="12"/>
        <v>1</v>
      </c>
      <c r="AM62" s="24">
        <f t="shared" si="13"/>
        <v>5</v>
      </c>
    </row>
    <row r="63">
      <c r="A63" s="15">
        <v>2006.0</v>
      </c>
      <c r="B63" s="15" t="s">
        <v>120</v>
      </c>
      <c r="C63" s="7" t="s">
        <v>53</v>
      </c>
      <c r="D63" s="15" t="s">
        <v>223</v>
      </c>
      <c r="E63" s="16" t="s">
        <v>55</v>
      </c>
      <c r="F63" s="16">
        <v>20.0</v>
      </c>
      <c r="G63" s="16">
        <v>24.0</v>
      </c>
      <c r="H63" s="18">
        <f t="shared" si="1"/>
        <v>0.8333333333</v>
      </c>
      <c r="I63" s="16">
        <v>0.0</v>
      </c>
      <c r="J63" s="16">
        <v>0.0</v>
      </c>
      <c r="K63" s="21" t="str">
        <f t="shared" si="2"/>
        <v/>
      </c>
      <c r="L63" s="16">
        <v>7.0</v>
      </c>
      <c r="M63" s="16">
        <v>8.0</v>
      </c>
      <c r="N63" s="21">
        <f t="shared" si="14"/>
        <v>0.8</v>
      </c>
      <c r="O63" s="16">
        <v>7.0</v>
      </c>
      <c r="P63" s="16">
        <v>8.0</v>
      </c>
      <c r="Q63" s="21">
        <f t="shared" si="4"/>
        <v>0.875</v>
      </c>
      <c r="R63" s="16">
        <v>4.0</v>
      </c>
      <c r="S63" s="16">
        <v>5.0</v>
      </c>
      <c r="T63" s="21">
        <f t="shared" si="5"/>
        <v>0.8</v>
      </c>
      <c r="U63" s="16">
        <v>2.0</v>
      </c>
      <c r="V63" s="16">
        <v>3.0</v>
      </c>
      <c r="W63" s="21">
        <f t="shared" si="6"/>
        <v>0.6666666667</v>
      </c>
      <c r="X63" s="16">
        <v>55.0</v>
      </c>
      <c r="Y63" s="16">
        <v>34.0</v>
      </c>
      <c r="Z63" s="16">
        <v>34.0</v>
      </c>
      <c r="AA63" s="13">
        <f t="shared" si="7"/>
        <v>1</v>
      </c>
      <c r="AB63" s="16">
        <v>94.0</v>
      </c>
      <c r="AC63" s="16">
        <v>1.5</v>
      </c>
      <c r="AD63" s="16">
        <v>10.0</v>
      </c>
      <c r="AE63" s="16" t="s">
        <v>70</v>
      </c>
      <c r="AF63" s="16" t="s">
        <v>71</v>
      </c>
      <c r="AG63" s="16" t="s">
        <v>61</v>
      </c>
      <c r="AH63" s="24">
        <f t="shared" si="8"/>
        <v>1</v>
      </c>
      <c r="AI63" s="24">
        <f t="shared" si="9"/>
        <v>1</v>
      </c>
      <c r="AJ63" s="24">
        <f t="shared" si="10"/>
        <v>2</v>
      </c>
      <c r="AK63" s="24">
        <f t="shared" si="11"/>
        <v>2</v>
      </c>
      <c r="AL63" s="24">
        <f t="shared" si="12"/>
        <v>1</v>
      </c>
      <c r="AM63" s="24">
        <f t="shared" si="13"/>
        <v>7</v>
      </c>
    </row>
    <row r="64">
      <c r="A64" s="15">
        <v>2005.0</v>
      </c>
      <c r="B64" s="15" t="s">
        <v>224</v>
      </c>
      <c r="C64" s="7" t="s">
        <v>66</v>
      </c>
      <c r="D64" s="15" t="s">
        <v>225</v>
      </c>
      <c r="E64" s="16" t="s">
        <v>109</v>
      </c>
      <c r="F64" s="16">
        <v>23.0</v>
      </c>
      <c r="G64" s="16">
        <v>28.0</v>
      </c>
      <c r="H64" s="18">
        <f t="shared" si="1"/>
        <v>0.8214285714</v>
      </c>
      <c r="I64" s="16">
        <v>2.0</v>
      </c>
      <c r="J64" s="16">
        <v>2.0</v>
      </c>
      <c r="K64" s="21">
        <f t="shared" si="2"/>
        <v>0.6666666667</v>
      </c>
      <c r="L64" s="16">
        <v>10.0</v>
      </c>
      <c r="M64" s="16">
        <v>10.0</v>
      </c>
      <c r="N64" s="21">
        <f t="shared" si="14"/>
        <v>0.6666666667</v>
      </c>
      <c r="O64" s="16">
        <v>5.0</v>
      </c>
      <c r="P64" s="16">
        <v>6.0</v>
      </c>
      <c r="Q64" s="21">
        <f t="shared" si="4"/>
        <v>0.8333333333</v>
      </c>
      <c r="R64" s="16">
        <v>6.0</v>
      </c>
      <c r="S64" s="16">
        <v>9.0</v>
      </c>
      <c r="T64" s="21">
        <f t="shared" si="5"/>
        <v>0.6666666667</v>
      </c>
      <c r="U64" s="16">
        <v>0.0</v>
      </c>
      <c r="V64" s="16">
        <v>1.0</v>
      </c>
      <c r="W64" s="21">
        <f t="shared" si="6"/>
        <v>0</v>
      </c>
      <c r="X64" s="16">
        <v>47.0</v>
      </c>
      <c r="Y64" s="16">
        <v>32.0</v>
      </c>
      <c r="Z64" s="16">
        <v>32.0</v>
      </c>
      <c r="AA64" s="13">
        <f t="shared" si="7"/>
        <v>1</v>
      </c>
      <c r="AB64" s="16">
        <v>101.0</v>
      </c>
      <c r="AC64" s="16">
        <v>2.1</v>
      </c>
      <c r="AD64" s="16">
        <v>5.0</v>
      </c>
      <c r="AE64" s="16" t="s">
        <v>69</v>
      </c>
      <c r="AF64" s="16" t="s">
        <v>71</v>
      </c>
      <c r="AG64" s="16" t="s">
        <v>61</v>
      </c>
      <c r="AH64" s="24">
        <f t="shared" si="8"/>
        <v>1</v>
      </c>
      <c r="AI64" s="24">
        <f t="shared" si="9"/>
        <v>1</v>
      </c>
      <c r="AJ64" s="24">
        <f t="shared" si="10"/>
        <v>0</v>
      </c>
      <c r="AK64" s="24">
        <f t="shared" si="11"/>
        <v>1</v>
      </c>
      <c r="AL64" s="24">
        <f t="shared" si="12"/>
        <v>2</v>
      </c>
      <c r="AM64" s="24">
        <f t="shared" si="13"/>
        <v>5</v>
      </c>
    </row>
    <row r="65">
      <c r="A65" s="15">
        <v>2005.0</v>
      </c>
      <c r="B65" s="15" t="s">
        <v>226</v>
      </c>
      <c r="C65" s="7" t="s">
        <v>53</v>
      </c>
      <c r="D65" s="15" t="s">
        <v>227</v>
      </c>
      <c r="E65" s="16" t="s">
        <v>68</v>
      </c>
      <c r="F65" s="16">
        <v>24.0</v>
      </c>
      <c r="G65" s="16">
        <v>31.0</v>
      </c>
      <c r="H65" s="18">
        <f t="shared" si="1"/>
        <v>0.7741935484</v>
      </c>
      <c r="I65" s="16">
        <v>2.0</v>
      </c>
      <c r="J65" s="16">
        <v>2.0</v>
      </c>
      <c r="K65" s="21">
        <f t="shared" si="2"/>
        <v>0.625</v>
      </c>
      <c r="L65" s="16">
        <v>11.0</v>
      </c>
      <c r="M65" s="16">
        <v>11.0</v>
      </c>
      <c r="N65" s="21">
        <f t="shared" si="14"/>
        <v>0.625</v>
      </c>
      <c r="O65" s="16">
        <v>6.0</v>
      </c>
      <c r="P65" s="16">
        <v>8.0</v>
      </c>
      <c r="Q65" s="21">
        <f t="shared" si="4"/>
        <v>0.75</v>
      </c>
      <c r="R65" s="16">
        <v>5.0</v>
      </c>
      <c r="S65" s="16">
        <v>8.0</v>
      </c>
      <c r="T65" s="21">
        <f t="shared" si="5"/>
        <v>0.625</v>
      </c>
      <c r="U65" s="16">
        <v>0.0</v>
      </c>
      <c r="V65" s="16">
        <v>2.0</v>
      </c>
      <c r="W65" s="21">
        <f t="shared" si="6"/>
        <v>0</v>
      </c>
      <c r="X65" s="16">
        <v>49.0</v>
      </c>
      <c r="Y65" s="16">
        <v>34.0</v>
      </c>
      <c r="Z65" s="16">
        <v>35.0</v>
      </c>
      <c r="AA65" s="13">
        <f t="shared" si="7"/>
        <v>0.9714285714</v>
      </c>
      <c r="AB65" s="16">
        <v>106.0</v>
      </c>
      <c r="AC65" s="16">
        <v>2.0</v>
      </c>
      <c r="AD65" s="16">
        <v>7.0</v>
      </c>
      <c r="AE65" s="16" t="s">
        <v>17</v>
      </c>
      <c r="AF65" s="16" t="s">
        <v>71</v>
      </c>
      <c r="AG65" s="16" t="s">
        <v>61</v>
      </c>
      <c r="AH65" s="24">
        <f t="shared" si="8"/>
        <v>2</v>
      </c>
      <c r="AI65" s="24">
        <f t="shared" si="9"/>
        <v>0</v>
      </c>
      <c r="AJ65" s="24">
        <f t="shared" si="10"/>
        <v>0</v>
      </c>
      <c r="AK65" s="24">
        <f t="shared" si="11"/>
        <v>1</v>
      </c>
      <c r="AL65" s="24">
        <f t="shared" si="12"/>
        <v>2</v>
      </c>
      <c r="AM65" s="24">
        <f t="shared" si="13"/>
        <v>5</v>
      </c>
    </row>
    <row r="66">
      <c r="A66" s="15">
        <v>2005.0</v>
      </c>
      <c r="B66" s="15" t="s">
        <v>228</v>
      </c>
      <c r="C66" s="7" t="s">
        <v>53</v>
      </c>
      <c r="D66" s="15" t="s">
        <v>229</v>
      </c>
      <c r="E66" s="16" t="s">
        <v>68</v>
      </c>
      <c r="F66" s="16">
        <v>22.0</v>
      </c>
      <c r="G66" s="16">
        <v>29.0</v>
      </c>
      <c r="H66" s="18">
        <f t="shared" si="1"/>
        <v>0.7586206897</v>
      </c>
      <c r="I66" s="16">
        <v>0.0</v>
      </c>
      <c r="J66" s="16">
        <v>0.0</v>
      </c>
      <c r="K66" s="21" t="str">
        <f t="shared" si="2"/>
        <v/>
      </c>
      <c r="L66" s="16">
        <v>3.0</v>
      </c>
      <c r="M66" s="16">
        <v>4.0</v>
      </c>
      <c r="N66" s="21">
        <f t="shared" si="14"/>
        <v>0.7272727273</v>
      </c>
      <c r="O66" s="16">
        <v>6.0</v>
      </c>
      <c r="P66" s="16">
        <v>7.0</v>
      </c>
      <c r="Q66" s="21">
        <f t="shared" si="4"/>
        <v>0.8571428571</v>
      </c>
      <c r="R66" s="16">
        <v>8.0</v>
      </c>
      <c r="S66" s="16">
        <v>11.0</v>
      </c>
      <c r="T66" s="21">
        <f t="shared" si="5"/>
        <v>0.7272727273</v>
      </c>
      <c r="U66" s="16">
        <v>5.0</v>
      </c>
      <c r="V66" s="16">
        <v>7.0</v>
      </c>
      <c r="W66" s="21">
        <f t="shared" si="6"/>
        <v>0.7142857143</v>
      </c>
      <c r="X66" s="16">
        <v>58.0</v>
      </c>
      <c r="Y66" s="16">
        <v>32.0</v>
      </c>
      <c r="Z66" s="16">
        <v>32.0</v>
      </c>
      <c r="AA66" s="13">
        <f t="shared" si="7"/>
        <v>1</v>
      </c>
      <c r="AB66" s="16">
        <v>98.0</v>
      </c>
      <c r="AC66" s="16">
        <v>1.7</v>
      </c>
      <c r="AD66" s="16">
        <v>7.0</v>
      </c>
      <c r="AE66" s="16" t="s">
        <v>56</v>
      </c>
      <c r="AF66" s="16" t="s">
        <v>71</v>
      </c>
      <c r="AG66" s="16" t="s">
        <v>61</v>
      </c>
      <c r="AH66" s="24">
        <f t="shared" si="8"/>
        <v>1</v>
      </c>
      <c r="AI66" s="24">
        <f t="shared" si="9"/>
        <v>0</v>
      </c>
      <c r="AJ66" s="24">
        <f t="shared" si="10"/>
        <v>2</v>
      </c>
      <c r="AK66" s="24">
        <f t="shared" si="11"/>
        <v>2</v>
      </c>
      <c r="AL66" s="24">
        <f t="shared" si="12"/>
        <v>1</v>
      </c>
      <c r="AM66" s="24">
        <f t="shared" si="13"/>
        <v>6</v>
      </c>
    </row>
    <row r="67">
      <c r="A67" s="15">
        <v>2004.0</v>
      </c>
      <c r="B67" s="15" t="s">
        <v>230</v>
      </c>
      <c r="C67" s="7" t="s">
        <v>53</v>
      </c>
      <c r="D67" s="15" t="s">
        <v>231</v>
      </c>
      <c r="E67" s="16" t="s">
        <v>55</v>
      </c>
      <c r="F67" s="16">
        <v>24.0</v>
      </c>
      <c r="G67" s="16">
        <v>27.0</v>
      </c>
      <c r="H67" s="18">
        <f t="shared" si="1"/>
        <v>0.8888888889</v>
      </c>
      <c r="I67" s="16">
        <v>0.0</v>
      </c>
      <c r="J67" s="16">
        <v>0.0</v>
      </c>
      <c r="K67" s="21" t="str">
        <f t="shared" si="2"/>
        <v/>
      </c>
      <c r="L67" s="16">
        <v>10.0</v>
      </c>
      <c r="M67" s="16">
        <v>10.0</v>
      </c>
      <c r="N67" s="21">
        <f t="shared" si="14"/>
        <v>0.8333333333</v>
      </c>
      <c r="O67" s="16">
        <v>9.0</v>
      </c>
      <c r="P67" s="16">
        <v>10.0</v>
      </c>
      <c r="Q67" s="21">
        <f t="shared" si="4"/>
        <v>0.9</v>
      </c>
      <c r="R67" s="16">
        <v>5.0</v>
      </c>
      <c r="S67" s="16">
        <v>6.0</v>
      </c>
      <c r="T67" s="21">
        <f t="shared" si="5"/>
        <v>0.8333333333</v>
      </c>
      <c r="U67" s="16">
        <v>0.0</v>
      </c>
      <c r="V67" s="16">
        <v>1.0</v>
      </c>
      <c r="W67" s="21">
        <f t="shared" si="6"/>
        <v>0</v>
      </c>
      <c r="X67" s="16">
        <v>48.0</v>
      </c>
      <c r="Y67" s="16">
        <v>69.0</v>
      </c>
      <c r="Z67" s="16">
        <v>70.0</v>
      </c>
      <c r="AA67" s="13">
        <f t="shared" si="7"/>
        <v>0.9857142857</v>
      </c>
      <c r="AB67" s="16">
        <v>141.0</v>
      </c>
      <c r="AC67" s="16">
        <v>2.0</v>
      </c>
      <c r="AD67" s="16">
        <v>11.0</v>
      </c>
      <c r="AE67" s="16" t="s">
        <v>77</v>
      </c>
      <c r="AF67" s="16" t="s">
        <v>60</v>
      </c>
      <c r="AG67" s="16" t="s">
        <v>61</v>
      </c>
      <c r="AH67" s="24">
        <f t="shared" si="8"/>
        <v>2</v>
      </c>
      <c r="AI67" s="24">
        <f t="shared" si="9"/>
        <v>1</v>
      </c>
      <c r="AJ67" s="24">
        <f t="shared" si="10"/>
        <v>0</v>
      </c>
      <c r="AK67" s="24">
        <f t="shared" si="11"/>
        <v>1</v>
      </c>
      <c r="AL67" s="24">
        <f t="shared" si="12"/>
        <v>2</v>
      </c>
      <c r="AM67" s="24">
        <f t="shared" si="13"/>
        <v>6</v>
      </c>
    </row>
    <row r="68">
      <c r="A68" s="15">
        <v>2004.0</v>
      </c>
      <c r="B68" s="15" t="s">
        <v>232</v>
      </c>
      <c r="C68" s="7" t="s">
        <v>53</v>
      </c>
      <c r="D68" s="15" t="s">
        <v>233</v>
      </c>
      <c r="E68" s="16" t="s">
        <v>109</v>
      </c>
      <c r="F68" s="16">
        <v>21.0</v>
      </c>
      <c r="G68" s="16">
        <v>23.0</v>
      </c>
      <c r="H68" s="18">
        <f t="shared" si="1"/>
        <v>0.9130434783</v>
      </c>
      <c r="I68" s="16">
        <v>0.0</v>
      </c>
      <c r="J68" s="16">
        <v>0.0</v>
      </c>
      <c r="K68" s="21" t="str">
        <f t="shared" si="2"/>
        <v/>
      </c>
      <c r="L68" s="16">
        <v>8.0</v>
      </c>
      <c r="M68" s="16">
        <v>8.0</v>
      </c>
      <c r="N68" s="21">
        <f t="shared" si="14"/>
        <v>0.8</v>
      </c>
      <c r="O68" s="16">
        <v>7.0</v>
      </c>
      <c r="P68" s="16">
        <v>8.0</v>
      </c>
      <c r="Q68" s="21">
        <f t="shared" si="4"/>
        <v>0.875</v>
      </c>
      <c r="R68" s="16">
        <v>4.0</v>
      </c>
      <c r="S68" s="16">
        <v>5.0</v>
      </c>
      <c r="T68" s="21">
        <f t="shared" si="5"/>
        <v>0.8</v>
      </c>
      <c r="U68" s="16">
        <v>2.0</v>
      </c>
      <c r="V68" s="16">
        <v>2.0</v>
      </c>
      <c r="W68" s="21">
        <f t="shared" si="6"/>
        <v>1</v>
      </c>
      <c r="X68" s="16">
        <v>52.0</v>
      </c>
      <c r="Y68" s="16">
        <v>32.0</v>
      </c>
      <c r="Z68" s="16">
        <v>33.0</v>
      </c>
      <c r="AA68" s="13">
        <f t="shared" si="7"/>
        <v>0.9696969697</v>
      </c>
      <c r="AB68" s="16">
        <v>95.0</v>
      </c>
      <c r="AC68" s="16">
        <v>1.9</v>
      </c>
      <c r="AD68" s="16">
        <v>4.0</v>
      </c>
      <c r="AE68" s="16" t="s">
        <v>64</v>
      </c>
      <c r="AF68" s="16" t="s">
        <v>60</v>
      </c>
      <c r="AG68" s="16" t="s">
        <v>61</v>
      </c>
      <c r="AH68" s="24">
        <f t="shared" si="8"/>
        <v>1</v>
      </c>
      <c r="AI68" s="24">
        <f t="shared" si="9"/>
        <v>1</v>
      </c>
      <c r="AJ68" s="24">
        <f t="shared" si="10"/>
        <v>2</v>
      </c>
      <c r="AK68" s="24">
        <f t="shared" si="11"/>
        <v>1</v>
      </c>
      <c r="AL68" s="24">
        <f t="shared" si="12"/>
        <v>2</v>
      </c>
      <c r="AM68" s="24">
        <f t="shared" si="13"/>
        <v>7</v>
      </c>
    </row>
    <row r="69">
      <c r="A69" s="15">
        <v>2004.0</v>
      </c>
      <c r="B69" s="15" t="s">
        <v>101</v>
      </c>
      <c r="C69" s="7" t="s">
        <v>66</v>
      </c>
      <c r="D69" s="15" t="s">
        <v>125</v>
      </c>
      <c r="E69" s="16" t="s">
        <v>55</v>
      </c>
      <c r="F69" s="16">
        <v>20.0</v>
      </c>
      <c r="G69" s="16">
        <v>23.0</v>
      </c>
      <c r="H69" s="18">
        <f t="shared" si="1"/>
        <v>0.8695652174</v>
      </c>
      <c r="I69" s="16">
        <v>0.0</v>
      </c>
      <c r="J69" s="16">
        <v>0.0</v>
      </c>
      <c r="K69" s="21" t="str">
        <f t="shared" si="2"/>
        <v/>
      </c>
      <c r="L69" s="16">
        <v>5.0</v>
      </c>
      <c r="M69" s="16">
        <v>5.0</v>
      </c>
      <c r="N69" s="21">
        <f t="shared" si="14"/>
        <v>0.7777777778</v>
      </c>
      <c r="O69" s="16">
        <v>7.0</v>
      </c>
      <c r="P69" s="16">
        <v>7.0</v>
      </c>
      <c r="Q69" s="21">
        <f t="shared" si="4"/>
        <v>1</v>
      </c>
      <c r="R69" s="16">
        <v>7.0</v>
      </c>
      <c r="S69" s="16">
        <v>9.0</v>
      </c>
      <c r="T69" s="21">
        <f t="shared" si="5"/>
        <v>0.7777777778</v>
      </c>
      <c r="U69" s="16">
        <v>5.0</v>
      </c>
      <c r="V69" s="16">
        <v>6.0</v>
      </c>
      <c r="W69" s="21">
        <f t="shared" si="6"/>
        <v>0.8333333333</v>
      </c>
      <c r="X69" s="16">
        <v>55.0</v>
      </c>
      <c r="Y69" s="16">
        <v>27.0</v>
      </c>
      <c r="Z69" s="16">
        <v>27.0</v>
      </c>
      <c r="AA69" s="13">
        <f t="shared" si="7"/>
        <v>1</v>
      </c>
      <c r="AB69" s="16">
        <v>102.0</v>
      </c>
      <c r="AC69" s="16">
        <v>1.7</v>
      </c>
      <c r="AD69" s="16">
        <v>7.0</v>
      </c>
      <c r="AE69" s="16" t="s">
        <v>58</v>
      </c>
      <c r="AF69" s="16" t="s">
        <v>71</v>
      </c>
      <c r="AG69" s="16" t="s">
        <v>61</v>
      </c>
      <c r="AH69" s="24">
        <f t="shared" si="8"/>
        <v>1</v>
      </c>
      <c r="AI69" s="24">
        <f t="shared" si="9"/>
        <v>1</v>
      </c>
      <c r="AJ69" s="24">
        <f t="shared" si="10"/>
        <v>2</v>
      </c>
      <c r="AK69" s="24">
        <f t="shared" si="11"/>
        <v>2</v>
      </c>
      <c r="AL69" s="24">
        <f t="shared" si="12"/>
        <v>1</v>
      </c>
      <c r="AM69" s="24">
        <f t="shared" si="13"/>
        <v>7</v>
      </c>
    </row>
    <row r="70">
      <c r="A70" s="15">
        <v>2003.0</v>
      </c>
      <c r="B70" s="15" t="s">
        <v>234</v>
      </c>
      <c r="C70" s="7" t="s">
        <v>66</v>
      </c>
      <c r="D70" s="15" t="s">
        <v>235</v>
      </c>
      <c r="E70" s="16" t="s">
        <v>68</v>
      </c>
      <c r="F70" s="16">
        <v>24.0</v>
      </c>
      <c r="G70" s="16">
        <v>28.0</v>
      </c>
      <c r="H70" s="18">
        <f t="shared" si="1"/>
        <v>0.8571428571</v>
      </c>
      <c r="I70" s="16">
        <v>0.0</v>
      </c>
      <c r="J70" s="16">
        <v>0.0</v>
      </c>
      <c r="K70" s="21" t="str">
        <f t="shared" si="2"/>
        <v/>
      </c>
      <c r="L70" s="16">
        <v>8.0</v>
      </c>
      <c r="M70" s="16">
        <v>8.0</v>
      </c>
      <c r="N70" s="21">
        <f t="shared" si="14"/>
        <v>0.8571428571</v>
      </c>
      <c r="O70" s="16">
        <v>7.0</v>
      </c>
      <c r="P70" s="16">
        <v>10.0</v>
      </c>
      <c r="Q70" s="21">
        <f t="shared" si="4"/>
        <v>0.7</v>
      </c>
      <c r="R70" s="16">
        <v>6.0</v>
      </c>
      <c r="S70" s="16">
        <v>7.0</v>
      </c>
      <c r="T70" s="21">
        <f t="shared" si="5"/>
        <v>0.8571428571</v>
      </c>
      <c r="U70" s="16">
        <v>0.0</v>
      </c>
      <c r="V70" s="16">
        <v>2.0</v>
      </c>
      <c r="W70" s="21">
        <f t="shared" si="6"/>
        <v>0</v>
      </c>
      <c r="X70" s="16">
        <v>49.0</v>
      </c>
      <c r="Y70" s="16">
        <v>45.0</v>
      </c>
      <c r="Z70" s="16">
        <v>45.0</v>
      </c>
      <c r="AA70" s="13">
        <f t="shared" si="7"/>
        <v>1</v>
      </c>
      <c r="AB70" s="16">
        <v>79.0</v>
      </c>
      <c r="AC70" s="16">
        <v>1.8</v>
      </c>
      <c r="AD70" s="16">
        <v>9.0</v>
      </c>
      <c r="AE70" s="16" t="s">
        <v>70</v>
      </c>
      <c r="AF70" s="16" t="s">
        <v>71</v>
      </c>
      <c r="AG70" s="16" t="s">
        <v>61</v>
      </c>
      <c r="AH70" s="24">
        <f t="shared" si="8"/>
        <v>2</v>
      </c>
      <c r="AI70" s="24">
        <f t="shared" si="9"/>
        <v>1</v>
      </c>
      <c r="AJ70" s="24">
        <f t="shared" si="10"/>
        <v>0</v>
      </c>
      <c r="AK70" s="24">
        <f t="shared" si="11"/>
        <v>1</v>
      </c>
      <c r="AL70" s="24">
        <f t="shared" si="12"/>
        <v>2</v>
      </c>
      <c r="AM70" s="24">
        <f t="shared" si="13"/>
        <v>6</v>
      </c>
    </row>
    <row r="71">
      <c r="A71" s="15">
        <v>2001.0</v>
      </c>
      <c r="B71" s="15" t="s">
        <v>195</v>
      </c>
      <c r="C71" s="7" t="s">
        <v>66</v>
      </c>
      <c r="D71" s="15" t="s">
        <v>236</v>
      </c>
      <c r="E71" s="16" t="s">
        <v>68</v>
      </c>
      <c r="F71" s="16">
        <v>15.0</v>
      </c>
      <c r="G71" s="16">
        <v>16.0</v>
      </c>
      <c r="H71" s="18">
        <f t="shared" si="1"/>
        <v>0.9375</v>
      </c>
      <c r="I71" s="16">
        <v>0.0</v>
      </c>
      <c r="J71" s="16">
        <v>0.0</v>
      </c>
      <c r="K71" s="21" t="str">
        <f t="shared" si="2"/>
        <v/>
      </c>
      <c r="L71" s="16">
        <v>4.0</v>
      </c>
      <c r="M71" s="16">
        <v>5.0</v>
      </c>
      <c r="N71" s="21">
        <f t="shared" si="14"/>
        <v>1</v>
      </c>
      <c r="O71" s="16">
        <v>4.0</v>
      </c>
      <c r="P71" s="16">
        <v>4.0</v>
      </c>
      <c r="Q71" s="21">
        <f t="shared" si="4"/>
        <v>1</v>
      </c>
      <c r="R71" s="16">
        <v>4.0</v>
      </c>
      <c r="S71" s="16">
        <v>4.0</v>
      </c>
      <c r="T71" s="21">
        <f t="shared" si="5"/>
        <v>1</v>
      </c>
      <c r="U71" s="16">
        <v>3.0</v>
      </c>
      <c r="V71" s="16">
        <v>3.0</v>
      </c>
      <c r="W71" s="21">
        <f t="shared" si="6"/>
        <v>1</v>
      </c>
      <c r="X71" s="16">
        <v>53.0</v>
      </c>
      <c r="Y71" s="16">
        <v>39.0</v>
      </c>
      <c r="Z71" s="16">
        <v>40.0</v>
      </c>
      <c r="AA71" s="13">
        <f t="shared" si="7"/>
        <v>0.975</v>
      </c>
      <c r="AB71" s="16">
        <v>84.0</v>
      </c>
      <c r="AC71" s="16">
        <v>1.3</v>
      </c>
      <c r="AD71" s="16">
        <v>3.0</v>
      </c>
      <c r="AE71" s="16" t="s">
        <v>62</v>
      </c>
      <c r="AF71" s="16" t="s">
        <v>60</v>
      </c>
      <c r="AG71" s="16" t="s">
        <v>61</v>
      </c>
      <c r="AH71" s="24">
        <f t="shared" si="8"/>
        <v>1</v>
      </c>
      <c r="AI71" s="24">
        <f t="shared" si="9"/>
        <v>2</v>
      </c>
      <c r="AJ71" s="24">
        <f t="shared" si="10"/>
        <v>2</v>
      </c>
      <c r="AK71" s="24">
        <f t="shared" si="11"/>
        <v>1</v>
      </c>
      <c r="AL71" s="24">
        <f t="shared" si="12"/>
        <v>1</v>
      </c>
      <c r="AM71" s="24">
        <f t="shared" si="13"/>
        <v>7</v>
      </c>
    </row>
    <row r="72">
      <c r="C72" s="37"/>
      <c r="E72" s="38"/>
      <c r="F72" s="38"/>
      <c r="G72" s="38"/>
      <c r="H72" s="39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</row>
    <row r="73">
      <c r="C73" s="37"/>
      <c r="H73" s="25"/>
    </row>
    <row r="74">
      <c r="C74" s="37"/>
      <c r="H74" s="25"/>
    </row>
    <row r="75">
      <c r="C75" s="37"/>
      <c r="H75" s="25"/>
    </row>
    <row r="76">
      <c r="C76" s="37"/>
      <c r="H76" s="25"/>
    </row>
    <row r="77">
      <c r="C77" s="37"/>
      <c r="H77" s="25"/>
    </row>
    <row r="78">
      <c r="C78" s="37"/>
      <c r="H78" s="25"/>
    </row>
    <row r="79">
      <c r="C79" s="37"/>
      <c r="H79" s="25"/>
    </row>
    <row r="80">
      <c r="C80" s="37"/>
      <c r="H80" s="25"/>
    </row>
    <row r="81">
      <c r="C81" s="37"/>
      <c r="H81" s="25"/>
    </row>
    <row r="82">
      <c r="C82" s="37"/>
      <c r="H82" s="25"/>
    </row>
    <row r="83">
      <c r="C83" s="37"/>
      <c r="H83" s="25"/>
    </row>
    <row r="84">
      <c r="C84" s="37"/>
      <c r="H84" s="25"/>
    </row>
    <row r="85">
      <c r="C85" s="37"/>
      <c r="H85" s="25"/>
    </row>
    <row r="86">
      <c r="C86" s="37"/>
      <c r="H86" s="25"/>
    </row>
    <row r="87">
      <c r="C87" s="37"/>
      <c r="H87" s="25"/>
    </row>
    <row r="88">
      <c r="C88" s="37"/>
      <c r="H88" s="25"/>
    </row>
    <row r="89">
      <c r="C89" s="37"/>
      <c r="H89" s="25"/>
    </row>
    <row r="90">
      <c r="C90" s="37"/>
      <c r="H90" s="25"/>
    </row>
    <row r="91">
      <c r="C91" s="37"/>
      <c r="H91" s="25"/>
    </row>
    <row r="92">
      <c r="C92" s="37"/>
      <c r="H92" s="25"/>
    </row>
    <row r="93">
      <c r="C93" s="37"/>
      <c r="H93" s="25"/>
    </row>
    <row r="94">
      <c r="C94" s="37"/>
      <c r="H94" s="25"/>
    </row>
    <row r="95">
      <c r="C95" s="37"/>
      <c r="H95" s="25"/>
    </row>
    <row r="96">
      <c r="C96" s="37"/>
      <c r="H96" s="25"/>
    </row>
    <row r="97">
      <c r="C97" s="37"/>
      <c r="H97" s="25"/>
    </row>
    <row r="98">
      <c r="C98" s="37"/>
      <c r="H98" s="25"/>
    </row>
    <row r="99">
      <c r="C99" s="37"/>
      <c r="H99" s="25"/>
    </row>
    <row r="100">
      <c r="C100" s="37"/>
      <c r="H100" s="25"/>
    </row>
    <row r="101">
      <c r="C101" s="37"/>
      <c r="H101" s="25"/>
    </row>
    <row r="102">
      <c r="C102" s="37"/>
      <c r="H102" s="25"/>
    </row>
    <row r="103">
      <c r="C103" s="37"/>
      <c r="H103" s="25"/>
    </row>
    <row r="104">
      <c r="C104" s="37"/>
      <c r="H104" s="25"/>
    </row>
    <row r="105">
      <c r="C105" s="37"/>
      <c r="H105" s="25"/>
    </row>
    <row r="106">
      <c r="C106" s="37"/>
      <c r="H106" s="25"/>
    </row>
    <row r="107">
      <c r="C107" s="37"/>
      <c r="H107" s="25"/>
    </row>
    <row r="108">
      <c r="C108" s="37"/>
      <c r="H108" s="25"/>
    </row>
    <row r="109">
      <c r="C109" s="37"/>
      <c r="H109" s="25"/>
    </row>
    <row r="110">
      <c r="C110" s="37"/>
      <c r="H110" s="25"/>
    </row>
    <row r="111">
      <c r="C111" s="37"/>
      <c r="H111" s="25"/>
    </row>
    <row r="112">
      <c r="C112" s="37"/>
      <c r="H112" s="25"/>
    </row>
    <row r="113">
      <c r="C113" s="37"/>
      <c r="H113" s="25"/>
    </row>
    <row r="114">
      <c r="C114" s="37"/>
      <c r="H114" s="25"/>
    </row>
    <row r="115">
      <c r="C115" s="37"/>
      <c r="H115" s="25"/>
    </row>
    <row r="116">
      <c r="C116" s="37"/>
      <c r="H116" s="25"/>
    </row>
    <row r="117">
      <c r="C117" s="37"/>
      <c r="H117" s="25"/>
    </row>
    <row r="118">
      <c r="C118" s="37"/>
      <c r="H118" s="25"/>
    </row>
    <row r="119">
      <c r="C119" s="37"/>
      <c r="H119" s="25"/>
    </row>
    <row r="120">
      <c r="C120" s="37"/>
      <c r="H120" s="25"/>
    </row>
    <row r="121">
      <c r="C121" s="37"/>
      <c r="H121" s="25"/>
    </row>
    <row r="122">
      <c r="C122" s="37"/>
      <c r="H122" s="25"/>
    </row>
    <row r="123">
      <c r="C123" s="37"/>
      <c r="H123" s="25"/>
    </row>
    <row r="124">
      <c r="C124" s="37"/>
      <c r="H124" s="25"/>
    </row>
    <row r="125">
      <c r="C125" s="37"/>
      <c r="H125" s="25"/>
    </row>
    <row r="126">
      <c r="C126" s="37"/>
      <c r="H126" s="25"/>
    </row>
    <row r="127">
      <c r="C127" s="37"/>
      <c r="H127" s="25"/>
    </row>
    <row r="128">
      <c r="C128" s="37"/>
      <c r="H128" s="25"/>
    </row>
    <row r="129">
      <c r="C129" s="37"/>
      <c r="H129" s="25"/>
    </row>
    <row r="130">
      <c r="C130" s="37"/>
      <c r="H130" s="25"/>
    </row>
    <row r="131">
      <c r="C131" s="37"/>
      <c r="H131" s="25"/>
    </row>
    <row r="132">
      <c r="C132" s="37"/>
      <c r="H132" s="25"/>
    </row>
    <row r="133">
      <c r="C133" s="37"/>
      <c r="H133" s="25"/>
    </row>
    <row r="134">
      <c r="C134" s="37"/>
      <c r="H134" s="25"/>
    </row>
    <row r="135">
      <c r="C135" s="37"/>
      <c r="H135" s="25"/>
    </row>
    <row r="136">
      <c r="C136" s="37"/>
      <c r="H136" s="25"/>
    </row>
    <row r="137">
      <c r="C137" s="37"/>
      <c r="H137" s="25"/>
    </row>
    <row r="138">
      <c r="C138" s="37"/>
      <c r="H138" s="25"/>
    </row>
    <row r="139">
      <c r="C139" s="37"/>
      <c r="H139" s="25"/>
    </row>
    <row r="140">
      <c r="C140" s="37"/>
      <c r="H140" s="25"/>
    </row>
    <row r="141">
      <c r="C141" s="37"/>
      <c r="H141" s="25"/>
    </row>
    <row r="142">
      <c r="C142" s="37"/>
      <c r="H142" s="25"/>
    </row>
    <row r="143">
      <c r="C143" s="37"/>
      <c r="H143" s="25"/>
    </row>
    <row r="144">
      <c r="C144" s="37"/>
      <c r="H144" s="25"/>
    </row>
    <row r="145">
      <c r="C145" s="37"/>
      <c r="H145" s="25"/>
    </row>
    <row r="146">
      <c r="C146" s="37"/>
      <c r="H146" s="25"/>
    </row>
    <row r="147">
      <c r="C147" s="37"/>
      <c r="H147" s="25"/>
    </row>
    <row r="148">
      <c r="C148" s="37"/>
      <c r="H148" s="25"/>
    </row>
    <row r="149">
      <c r="C149" s="37"/>
      <c r="H149" s="25"/>
    </row>
    <row r="150">
      <c r="C150" s="37"/>
      <c r="H150" s="25"/>
    </row>
    <row r="151">
      <c r="C151" s="37"/>
      <c r="H151" s="25"/>
    </row>
    <row r="152">
      <c r="C152" s="37"/>
      <c r="H152" s="25"/>
    </row>
    <row r="153">
      <c r="C153" s="37"/>
      <c r="H153" s="25"/>
    </row>
    <row r="154">
      <c r="C154" s="37"/>
      <c r="H154" s="25"/>
    </row>
    <row r="155">
      <c r="C155" s="37"/>
      <c r="H155" s="25"/>
    </row>
    <row r="156">
      <c r="C156" s="37"/>
      <c r="H156" s="25"/>
    </row>
    <row r="157">
      <c r="C157" s="37"/>
      <c r="H157" s="25"/>
    </row>
    <row r="158">
      <c r="C158" s="37"/>
      <c r="H158" s="25"/>
    </row>
    <row r="159">
      <c r="C159" s="37"/>
      <c r="H159" s="25"/>
    </row>
    <row r="160">
      <c r="C160" s="37"/>
      <c r="H160" s="25"/>
    </row>
    <row r="161">
      <c r="C161" s="37"/>
      <c r="H161" s="25"/>
    </row>
    <row r="162">
      <c r="C162" s="37"/>
      <c r="H162" s="25"/>
    </row>
    <row r="163">
      <c r="C163" s="37"/>
      <c r="H163" s="25"/>
    </row>
    <row r="164">
      <c r="C164" s="37"/>
      <c r="H164" s="25"/>
    </row>
    <row r="165">
      <c r="C165" s="37"/>
      <c r="H165" s="25"/>
    </row>
    <row r="166">
      <c r="C166" s="37"/>
      <c r="H166" s="25"/>
    </row>
    <row r="167">
      <c r="C167" s="37"/>
      <c r="H167" s="25"/>
    </row>
    <row r="168">
      <c r="C168" s="37"/>
      <c r="H168" s="25"/>
    </row>
    <row r="169">
      <c r="C169" s="37"/>
      <c r="H169" s="25"/>
    </row>
    <row r="170">
      <c r="C170" s="37"/>
      <c r="H170" s="25"/>
    </row>
    <row r="171">
      <c r="C171" s="37"/>
      <c r="H171" s="25"/>
    </row>
    <row r="172">
      <c r="C172" s="37"/>
      <c r="H172" s="25"/>
    </row>
    <row r="173">
      <c r="C173" s="37"/>
      <c r="H173" s="25"/>
    </row>
    <row r="174">
      <c r="C174" s="37"/>
      <c r="H174" s="25"/>
    </row>
    <row r="175">
      <c r="C175" s="37"/>
      <c r="H175" s="25"/>
    </row>
    <row r="176">
      <c r="C176" s="37"/>
      <c r="H176" s="25"/>
    </row>
    <row r="177">
      <c r="C177" s="37"/>
      <c r="H177" s="25"/>
    </row>
    <row r="178">
      <c r="C178" s="37"/>
      <c r="H178" s="25"/>
    </row>
    <row r="179">
      <c r="C179" s="37"/>
      <c r="H179" s="25"/>
    </row>
    <row r="180">
      <c r="C180" s="37"/>
      <c r="H180" s="25"/>
    </row>
    <row r="181">
      <c r="C181" s="37"/>
      <c r="H181" s="25"/>
    </row>
    <row r="182">
      <c r="C182" s="37"/>
      <c r="H182" s="25"/>
    </row>
    <row r="183">
      <c r="C183" s="37"/>
      <c r="H183" s="25"/>
    </row>
    <row r="184">
      <c r="C184" s="37"/>
      <c r="H184" s="25"/>
    </row>
    <row r="185">
      <c r="C185" s="37"/>
      <c r="H185" s="25"/>
    </row>
    <row r="186">
      <c r="C186" s="37"/>
      <c r="H186" s="25"/>
    </row>
    <row r="187">
      <c r="C187" s="37"/>
      <c r="H187" s="25"/>
    </row>
    <row r="188">
      <c r="C188" s="37"/>
      <c r="H188" s="25"/>
    </row>
    <row r="189">
      <c r="C189" s="37"/>
      <c r="H189" s="25"/>
    </row>
    <row r="190">
      <c r="C190" s="37"/>
      <c r="H190" s="25"/>
    </row>
    <row r="191">
      <c r="C191" s="37"/>
      <c r="H191" s="25"/>
    </row>
    <row r="192">
      <c r="C192" s="37"/>
      <c r="H192" s="25"/>
    </row>
    <row r="193">
      <c r="C193" s="37"/>
      <c r="H193" s="25"/>
    </row>
    <row r="194">
      <c r="C194" s="37"/>
      <c r="H194" s="25"/>
    </row>
    <row r="195">
      <c r="C195" s="37"/>
      <c r="H195" s="25"/>
    </row>
    <row r="196">
      <c r="C196" s="37"/>
      <c r="H196" s="25"/>
    </row>
    <row r="197">
      <c r="C197" s="37"/>
      <c r="H197" s="25"/>
    </row>
    <row r="198">
      <c r="C198" s="37"/>
      <c r="H198" s="25"/>
    </row>
    <row r="199">
      <c r="C199" s="37"/>
      <c r="H199" s="25"/>
    </row>
    <row r="200">
      <c r="C200" s="37"/>
      <c r="H200" s="25"/>
    </row>
    <row r="201">
      <c r="C201" s="37"/>
      <c r="H201" s="25"/>
    </row>
    <row r="202">
      <c r="C202" s="37"/>
      <c r="H202" s="25"/>
    </row>
    <row r="203">
      <c r="C203" s="37"/>
      <c r="H203" s="25"/>
    </row>
    <row r="204">
      <c r="C204" s="37"/>
      <c r="H204" s="25"/>
    </row>
    <row r="205">
      <c r="C205" s="37"/>
      <c r="H205" s="25"/>
    </row>
    <row r="206">
      <c r="C206" s="37"/>
      <c r="H206" s="25"/>
    </row>
    <row r="207">
      <c r="C207" s="37"/>
      <c r="H207" s="25"/>
    </row>
    <row r="208">
      <c r="C208" s="37"/>
      <c r="H208" s="25"/>
    </row>
    <row r="209">
      <c r="C209" s="37"/>
      <c r="H209" s="25"/>
    </row>
    <row r="210">
      <c r="C210" s="37"/>
      <c r="H210" s="25"/>
    </row>
    <row r="211">
      <c r="C211" s="37"/>
      <c r="H211" s="25"/>
    </row>
    <row r="212">
      <c r="C212" s="37"/>
      <c r="H212" s="25"/>
    </row>
    <row r="213">
      <c r="C213" s="37"/>
      <c r="H213" s="25"/>
    </row>
    <row r="214">
      <c r="C214" s="37"/>
      <c r="H214" s="25"/>
    </row>
    <row r="215">
      <c r="C215" s="37"/>
      <c r="H215" s="25"/>
    </row>
    <row r="216">
      <c r="C216" s="37"/>
      <c r="H216" s="25"/>
    </row>
    <row r="217">
      <c r="C217" s="37"/>
      <c r="H217" s="25"/>
    </row>
    <row r="218">
      <c r="C218" s="37"/>
      <c r="H218" s="25"/>
    </row>
    <row r="219">
      <c r="C219" s="37"/>
      <c r="H219" s="25"/>
    </row>
    <row r="220">
      <c r="C220" s="37"/>
      <c r="H220" s="25"/>
    </row>
    <row r="221">
      <c r="C221" s="37"/>
      <c r="H221" s="25"/>
    </row>
    <row r="222">
      <c r="C222" s="37"/>
      <c r="H222" s="25"/>
    </row>
    <row r="223">
      <c r="C223" s="37"/>
      <c r="H223" s="25"/>
    </row>
    <row r="224">
      <c r="C224" s="37"/>
      <c r="H224" s="25"/>
    </row>
    <row r="225">
      <c r="C225" s="37"/>
      <c r="H225" s="25"/>
    </row>
    <row r="226">
      <c r="C226" s="37"/>
      <c r="H226" s="25"/>
    </row>
    <row r="227">
      <c r="C227" s="37"/>
      <c r="H227" s="25"/>
    </row>
    <row r="228">
      <c r="C228" s="37"/>
      <c r="H228" s="25"/>
    </row>
    <row r="229">
      <c r="C229" s="37"/>
      <c r="H229" s="25"/>
    </row>
    <row r="230">
      <c r="C230" s="37"/>
      <c r="H230" s="25"/>
    </row>
    <row r="231">
      <c r="C231" s="37"/>
      <c r="H231" s="25"/>
    </row>
    <row r="232">
      <c r="C232" s="37"/>
      <c r="H232" s="25"/>
    </row>
    <row r="233">
      <c r="C233" s="37"/>
      <c r="H233" s="25"/>
    </row>
    <row r="234">
      <c r="C234" s="37"/>
      <c r="H234" s="25"/>
    </row>
    <row r="235">
      <c r="C235" s="37"/>
      <c r="H235" s="25"/>
    </row>
    <row r="236">
      <c r="C236" s="37"/>
      <c r="H236" s="25"/>
    </row>
    <row r="237">
      <c r="C237" s="37"/>
      <c r="H237" s="25"/>
    </row>
    <row r="238">
      <c r="C238" s="37"/>
      <c r="H238" s="25"/>
    </row>
    <row r="239">
      <c r="C239" s="37"/>
      <c r="H239" s="25"/>
    </row>
    <row r="240">
      <c r="C240" s="37"/>
      <c r="H240" s="25"/>
    </row>
    <row r="241">
      <c r="C241" s="37"/>
      <c r="H241" s="25"/>
    </row>
    <row r="242">
      <c r="C242" s="37"/>
      <c r="H242" s="25"/>
    </row>
    <row r="243">
      <c r="C243" s="37"/>
      <c r="H243" s="25"/>
    </row>
    <row r="244">
      <c r="C244" s="37"/>
      <c r="H244" s="25"/>
    </row>
    <row r="245">
      <c r="C245" s="37"/>
      <c r="H245" s="25"/>
    </row>
    <row r="246">
      <c r="C246" s="37"/>
      <c r="H246" s="25"/>
    </row>
    <row r="247">
      <c r="C247" s="37"/>
      <c r="H247" s="25"/>
    </row>
    <row r="248">
      <c r="C248" s="37"/>
      <c r="H248" s="25"/>
    </row>
    <row r="249">
      <c r="C249" s="37"/>
      <c r="H249" s="25"/>
    </row>
    <row r="250">
      <c r="C250" s="37"/>
      <c r="H250" s="25"/>
    </row>
    <row r="251">
      <c r="C251" s="37"/>
      <c r="H251" s="25"/>
    </row>
    <row r="252">
      <c r="C252" s="37"/>
      <c r="H252" s="25"/>
    </row>
    <row r="253">
      <c r="C253" s="37"/>
      <c r="H253" s="25"/>
    </row>
    <row r="254">
      <c r="C254" s="37"/>
      <c r="H254" s="25"/>
    </row>
    <row r="255">
      <c r="C255" s="37"/>
      <c r="H255" s="25"/>
    </row>
    <row r="256">
      <c r="C256" s="37"/>
      <c r="H256" s="25"/>
    </row>
    <row r="257">
      <c r="C257" s="37"/>
      <c r="H257" s="25"/>
    </row>
    <row r="258">
      <c r="C258" s="37"/>
      <c r="H258" s="25"/>
    </row>
    <row r="259">
      <c r="C259" s="37"/>
      <c r="H259" s="25"/>
    </row>
    <row r="260">
      <c r="C260" s="37"/>
      <c r="H260" s="25"/>
    </row>
    <row r="261">
      <c r="C261" s="37"/>
      <c r="H261" s="25"/>
    </row>
    <row r="262">
      <c r="C262" s="37"/>
      <c r="H262" s="25"/>
    </row>
    <row r="263">
      <c r="C263" s="37"/>
      <c r="H263" s="25"/>
    </row>
    <row r="264">
      <c r="C264" s="37"/>
      <c r="H264" s="25"/>
    </row>
    <row r="265">
      <c r="C265" s="37"/>
      <c r="H265" s="25"/>
    </row>
    <row r="266">
      <c r="C266" s="37"/>
      <c r="H266" s="25"/>
    </row>
    <row r="267">
      <c r="C267" s="37"/>
      <c r="H267" s="25"/>
    </row>
    <row r="268">
      <c r="C268" s="37"/>
      <c r="H268" s="25"/>
    </row>
    <row r="269">
      <c r="C269" s="37"/>
      <c r="H269" s="25"/>
    </row>
    <row r="270">
      <c r="C270" s="37"/>
      <c r="H270" s="25"/>
    </row>
    <row r="271">
      <c r="C271" s="37"/>
      <c r="H271" s="25"/>
    </row>
    <row r="272">
      <c r="C272" s="37"/>
      <c r="H272" s="25"/>
    </row>
    <row r="273">
      <c r="C273" s="37"/>
      <c r="H273" s="25"/>
    </row>
    <row r="274">
      <c r="C274" s="37"/>
      <c r="H274" s="25"/>
    </row>
    <row r="275">
      <c r="C275" s="37"/>
      <c r="H275" s="25"/>
    </row>
    <row r="276">
      <c r="C276" s="37"/>
      <c r="H276" s="25"/>
    </row>
    <row r="277">
      <c r="C277" s="37"/>
      <c r="H277" s="25"/>
    </row>
    <row r="278">
      <c r="C278" s="37"/>
      <c r="H278" s="25"/>
    </row>
    <row r="279">
      <c r="C279" s="37"/>
      <c r="H279" s="25"/>
    </row>
    <row r="280">
      <c r="C280" s="37"/>
      <c r="H280" s="25"/>
    </row>
    <row r="281">
      <c r="C281" s="37"/>
      <c r="H281" s="25"/>
    </row>
    <row r="282">
      <c r="C282" s="37"/>
      <c r="H282" s="25"/>
    </row>
    <row r="283">
      <c r="C283" s="37"/>
      <c r="H283" s="25"/>
    </row>
    <row r="284">
      <c r="C284" s="37"/>
      <c r="H284" s="25"/>
    </row>
    <row r="285">
      <c r="C285" s="37"/>
      <c r="H285" s="25"/>
    </row>
    <row r="286">
      <c r="C286" s="37"/>
      <c r="H286" s="25"/>
    </row>
    <row r="287">
      <c r="C287" s="37"/>
      <c r="H287" s="25"/>
    </row>
    <row r="288">
      <c r="C288" s="37"/>
      <c r="H288" s="25"/>
    </row>
    <row r="289">
      <c r="C289" s="37"/>
      <c r="H289" s="25"/>
    </row>
    <row r="290">
      <c r="C290" s="37"/>
      <c r="H290" s="25"/>
    </row>
    <row r="291">
      <c r="C291" s="37"/>
      <c r="H291" s="25"/>
    </row>
    <row r="292">
      <c r="C292" s="37"/>
      <c r="H292" s="25"/>
    </row>
    <row r="293">
      <c r="C293" s="37"/>
      <c r="H293" s="25"/>
    </row>
    <row r="294">
      <c r="C294" s="37"/>
      <c r="H294" s="25"/>
    </row>
    <row r="295">
      <c r="C295" s="37"/>
      <c r="H295" s="25"/>
    </row>
    <row r="296">
      <c r="C296" s="37"/>
      <c r="H296" s="25"/>
    </row>
    <row r="297">
      <c r="C297" s="37"/>
      <c r="H297" s="25"/>
    </row>
    <row r="298">
      <c r="C298" s="37"/>
      <c r="H298" s="25"/>
    </row>
    <row r="299">
      <c r="C299" s="37"/>
      <c r="H299" s="25"/>
    </row>
    <row r="300">
      <c r="C300" s="37"/>
      <c r="H300" s="25"/>
    </row>
    <row r="301">
      <c r="C301" s="37"/>
      <c r="H301" s="25"/>
    </row>
    <row r="302">
      <c r="C302" s="37"/>
      <c r="H302" s="25"/>
    </row>
    <row r="303">
      <c r="C303" s="37"/>
      <c r="H303" s="25"/>
    </row>
    <row r="304">
      <c r="C304" s="37"/>
      <c r="H304" s="25"/>
    </row>
    <row r="305">
      <c r="C305" s="37"/>
      <c r="H305" s="25"/>
    </row>
    <row r="306">
      <c r="C306" s="37"/>
      <c r="H306" s="25"/>
    </row>
    <row r="307">
      <c r="C307" s="37"/>
      <c r="H307" s="25"/>
    </row>
    <row r="308">
      <c r="C308" s="37"/>
      <c r="H308" s="25"/>
    </row>
    <row r="309">
      <c r="C309" s="37"/>
      <c r="H309" s="25"/>
    </row>
    <row r="310">
      <c r="C310" s="37"/>
      <c r="H310" s="25"/>
    </row>
    <row r="311">
      <c r="C311" s="37"/>
      <c r="H311" s="25"/>
    </row>
    <row r="312">
      <c r="C312" s="37"/>
      <c r="H312" s="25"/>
    </row>
    <row r="313">
      <c r="C313" s="37"/>
      <c r="H313" s="25"/>
    </row>
    <row r="314">
      <c r="C314" s="37"/>
      <c r="H314" s="25"/>
    </row>
    <row r="315">
      <c r="C315" s="37"/>
      <c r="H315" s="25"/>
    </row>
    <row r="316">
      <c r="C316" s="37"/>
      <c r="H316" s="25"/>
    </row>
    <row r="317">
      <c r="C317" s="37"/>
      <c r="H317" s="25"/>
    </row>
    <row r="318">
      <c r="C318" s="37"/>
      <c r="H318" s="25"/>
    </row>
    <row r="319">
      <c r="C319" s="37"/>
      <c r="H319" s="25"/>
    </row>
    <row r="320">
      <c r="C320" s="37"/>
      <c r="H320" s="25"/>
    </row>
    <row r="321">
      <c r="C321" s="37"/>
      <c r="H321" s="25"/>
    </row>
    <row r="322">
      <c r="C322" s="37"/>
      <c r="H322" s="25"/>
    </row>
    <row r="323">
      <c r="C323" s="37"/>
      <c r="H323" s="25"/>
    </row>
    <row r="324">
      <c r="C324" s="37"/>
      <c r="H324" s="25"/>
    </row>
    <row r="325">
      <c r="C325" s="37"/>
      <c r="H325" s="25"/>
    </row>
    <row r="326">
      <c r="C326" s="37"/>
      <c r="H326" s="25"/>
    </row>
    <row r="327">
      <c r="C327" s="37"/>
      <c r="H327" s="25"/>
    </row>
    <row r="328">
      <c r="C328" s="37"/>
      <c r="H328" s="25"/>
    </row>
    <row r="329">
      <c r="C329" s="37"/>
      <c r="H329" s="25"/>
    </row>
    <row r="330">
      <c r="C330" s="37"/>
      <c r="H330" s="25"/>
    </row>
    <row r="331">
      <c r="C331" s="37"/>
      <c r="H331" s="25"/>
    </row>
    <row r="332">
      <c r="C332" s="37"/>
      <c r="H332" s="25"/>
    </row>
    <row r="333">
      <c r="C333" s="37"/>
      <c r="H333" s="25"/>
    </row>
    <row r="334">
      <c r="C334" s="37"/>
      <c r="H334" s="25"/>
    </row>
    <row r="335">
      <c r="C335" s="37"/>
      <c r="H335" s="25"/>
    </row>
    <row r="336">
      <c r="C336" s="37"/>
      <c r="H336" s="25"/>
    </row>
    <row r="337">
      <c r="C337" s="37"/>
      <c r="H337" s="25"/>
    </row>
    <row r="338">
      <c r="C338" s="37"/>
      <c r="H338" s="25"/>
    </row>
    <row r="339">
      <c r="C339" s="37"/>
      <c r="H339" s="25"/>
    </row>
    <row r="340">
      <c r="C340" s="37"/>
      <c r="H340" s="25"/>
    </row>
    <row r="341">
      <c r="C341" s="37"/>
      <c r="H341" s="25"/>
    </row>
    <row r="342">
      <c r="C342" s="37"/>
      <c r="H342" s="25"/>
    </row>
    <row r="343">
      <c r="C343" s="37"/>
      <c r="H343" s="25"/>
    </row>
    <row r="344">
      <c r="C344" s="37"/>
      <c r="H344" s="25"/>
    </row>
    <row r="345">
      <c r="C345" s="37"/>
      <c r="H345" s="25"/>
    </row>
    <row r="346">
      <c r="C346" s="37"/>
      <c r="H346" s="25"/>
    </row>
    <row r="347">
      <c r="C347" s="37"/>
      <c r="H347" s="25"/>
    </row>
    <row r="348">
      <c r="C348" s="37"/>
      <c r="H348" s="25"/>
    </row>
    <row r="349">
      <c r="C349" s="37"/>
      <c r="H349" s="25"/>
    </row>
    <row r="350">
      <c r="C350" s="37"/>
      <c r="H350" s="25"/>
    </row>
    <row r="351">
      <c r="C351" s="37"/>
      <c r="H351" s="25"/>
    </row>
    <row r="352">
      <c r="C352" s="37"/>
      <c r="H352" s="25"/>
    </row>
    <row r="353">
      <c r="C353" s="37"/>
      <c r="H353" s="25"/>
    </row>
    <row r="354">
      <c r="C354" s="37"/>
      <c r="H354" s="25"/>
    </row>
    <row r="355">
      <c r="C355" s="37"/>
      <c r="H355" s="25"/>
    </row>
    <row r="356">
      <c r="C356" s="37"/>
      <c r="H356" s="25"/>
    </row>
    <row r="357">
      <c r="C357" s="37"/>
      <c r="H357" s="25"/>
    </row>
    <row r="358">
      <c r="C358" s="37"/>
      <c r="H358" s="25"/>
    </row>
    <row r="359">
      <c r="C359" s="37"/>
      <c r="H359" s="25"/>
    </row>
    <row r="360">
      <c r="C360" s="37"/>
      <c r="H360" s="25"/>
    </row>
    <row r="361">
      <c r="C361" s="37"/>
      <c r="H361" s="25"/>
    </row>
    <row r="362">
      <c r="C362" s="37"/>
      <c r="H362" s="25"/>
    </row>
    <row r="363">
      <c r="C363" s="37"/>
      <c r="H363" s="25"/>
    </row>
    <row r="364">
      <c r="C364" s="37"/>
      <c r="H364" s="25"/>
    </row>
    <row r="365">
      <c r="C365" s="37"/>
      <c r="H365" s="25"/>
    </row>
    <row r="366">
      <c r="C366" s="37"/>
      <c r="H366" s="25"/>
    </row>
    <row r="367">
      <c r="C367" s="37"/>
      <c r="H367" s="25"/>
    </row>
    <row r="368">
      <c r="C368" s="37"/>
      <c r="H368" s="25"/>
    </row>
    <row r="369">
      <c r="C369" s="37"/>
      <c r="H369" s="25"/>
    </row>
    <row r="370">
      <c r="C370" s="37"/>
      <c r="H370" s="25"/>
    </row>
    <row r="371">
      <c r="C371" s="37"/>
      <c r="H371" s="25"/>
    </row>
    <row r="372">
      <c r="C372" s="37"/>
      <c r="H372" s="25"/>
    </row>
    <row r="373">
      <c r="C373" s="37"/>
      <c r="H373" s="25"/>
    </row>
    <row r="374">
      <c r="C374" s="37"/>
      <c r="H374" s="25"/>
    </row>
    <row r="375">
      <c r="C375" s="37"/>
      <c r="H375" s="25"/>
    </row>
    <row r="376">
      <c r="C376" s="37"/>
      <c r="H376" s="25"/>
    </row>
    <row r="377">
      <c r="C377" s="37"/>
      <c r="H377" s="25"/>
    </row>
    <row r="378">
      <c r="C378" s="37"/>
      <c r="H378" s="25"/>
    </row>
    <row r="379">
      <c r="C379" s="37"/>
      <c r="H379" s="25"/>
    </row>
    <row r="380">
      <c r="C380" s="37"/>
      <c r="H380" s="25"/>
    </row>
    <row r="381">
      <c r="C381" s="37"/>
      <c r="H381" s="25"/>
    </row>
    <row r="382">
      <c r="C382" s="37"/>
      <c r="H382" s="25"/>
    </row>
    <row r="383">
      <c r="C383" s="37"/>
      <c r="H383" s="25"/>
    </row>
    <row r="384">
      <c r="C384" s="37"/>
      <c r="H384" s="25"/>
    </row>
    <row r="385">
      <c r="C385" s="37"/>
      <c r="H385" s="25"/>
    </row>
    <row r="386">
      <c r="C386" s="37"/>
      <c r="H386" s="25"/>
    </row>
    <row r="387">
      <c r="C387" s="37"/>
      <c r="H387" s="25"/>
    </row>
    <row r="388">
      <c r="C388" s="37"/>
      <c r="H388" s="25"/>
    </row>
    <row r="389">
      <c r="C389" s="37"/>
      <c r="H389" s="25"/>
    </row>
    <row r="390">
      <c r="C390" s="37"/>
      <c r="H390" s="25"/>
    </row>
    <row r="391">
      <c r="C391" s="37"/>
      <c r="H391" s="25"/>
    </row>
    <row r="392">
      <c r="C392" s="37"/>
      <c r="H392" s="25"/>
    </row>
    <row r="393">
      <c r="C393" s="37"/>
      <c r="H393" s="25"/>
    </row>
    <row r="394">
      <c r="C394" s="37"/>
      <c r="H394" s="25"/>
    </row>
    <row r="395">
      <c r="C395" s="37"/>
      <c r="H395" s="25"/>
    </row>
    <row r="396">
      <c r="C396" s="37"/>
      <c r="H396" s="25"/>
    </row>
    <row r="397">
      <c r="C397" s="37"/>
      <c r="H397" s="25"/>
    </row>
    <row r="398">
      <c r="C398" s="37"/>
      <c r="H398" s="25"/>
    </row>
    <row r="399">
      <c r="C399" s="37"/>
      <c r="H399" s="25"/>
    </row>
    <row r="400">
      <c r="C400" s="37"/>
      <c r="H400" s="25"/>
    </row>
    <row r="401">
      <c r="C401" s="37"/>
      <c r="H401" s="25"/>
    </row>
    <row r="402">
      <c r="C402" s="37"/>
      <c r="H402" s="25"/>
    </row>
    <row r="403">
      <c r="C403" s="37"/>
      <c r="H403" s="25"/>
    </row>
    <row r="404">
      <c r="C404" s="37"/>
      <c r="H404" s="25"/>
    </row>
    <row r="405">
      <c r="C405" s="37"/>
      <c r="H405" s="25"/>
    </row>
    <row r="406">
      <c r="C406" s="37"/>
      <c r="H406" s="25"/>
    </row>
    <row r="407">
      <c r="C407" s="37"/>
      <c r="H407" s="25"/>
    </row>
    <row r="408">
      <c r="C408" s="37"/>
      <c r="H408" s="25"/>
    </row>
    <row r="409">
      <c r="C409" s="37"/>
      <c r="H409" s="25"/>
    </row>
    <row r="410">
      <c r="C410" s="37"/>
      <c r="H410" s="25"/>
    </row>
    <row r="411">
      <c r="C411" s="37"/>
      <c r="H411" s="25"/>
    </row>
    <row r="412">
      <c r="C412" s="37"/>
      <c r="H412" s="25"/>
    </row>
    <row r="413">
      <c r="C413" s="37"/>
      <c r="H413" s="25"/>
    </row>
    <row r="414">
      <c r="C414" s="37"/>
      <c r="H414" s="25"/>
    </row>
    <row r="415">
      <c r="C415" s="37"/>
      <c r="H415" s="25"/>
    </row>
    <row r="416">
      <c r="C416" s="37"/>
      <c r="H416" s="25"/>
    </row>
    <row r="417">
      <c r="C417" s="37"/>
      <c r="H417" s="25"/>
    </row>
    <row r="418">
      <c r="C418" s="37"/>
      <c r="H418" s="25"/>
    </row>
    <row r="419">
      <c r="C419" s="37"/>
      <c r="H419" s="25"/>
    </row>
    <row r="420">
      <c r="C420" s="37"/>
      <c r="H420" s="25"/>
    </row>
    <row r="421">
      <c r="C421" s="37"/>
      <c r="H421" s="25"/>
    </row>
    <row r="422">
      <c r="C422" s="37"/>
      <c r="H422" s="25"/>
    </row>
    <row r="423">
      <c r="C423" s="37"/>
      <c r="H423" s="25"/>
    </row>
    <row r="424">
      <c r="C424" s="37"/>
      <c r="H424" s="25"/>
    </row>
    <row r="425">
      <c r="C425" s="37"/>
      <c r="H425" s="25"/>
    </row>
    <row r="426">
      <c r="C426" s="37"/>
      <c r="H426" s="25"/>
    </row>
    <row r="427">
      <c r="C427" s="37"/>
      <c r="H427" s="25"/>
    </row>
    <row r="428">
      <c r="C428" s="37"/>
      <c r="H428" s="25"/>
    </row>
    <row r="429">
      <c r="C429" s="37"/>
      <c r="H429" s="25"/>
    </row>
    <row r="430">
      <c r="C430" s="37"/>
      <c r="H430" s="25"/>
    </row>
    <row r="431">
      <c r="C431" s="37"/>
      <c r="H431" s="25"/>
    </row>
    <row r="432">
      <c r="C432" s="37"/>
      <c r="H432" s="25"/>
    </row>
    <row r="433">
      <c r="C433" s="37"/>
      <c r="H433" s="25"/>
    </row>
    <row r="434">
      <c r="C434" s="37"/>
      <c r="H434" s="25"/>
    </row>
    <row r="435">
      <c r="C435" s="37"/>
      <c r="H435" s="25"/>
    </row>
    <row r="436">
      <c r="C436" s="37"/>
      <c r="H436" s="25"/>
    </row>
    <row r="437">
      <c r="C437" s="37"/>
      <c r="H437" s="25"/>
    </row>
    <row r="438">
      <c r="C438" s="37"/>
      <c r="H438" s="25"/>
    </row>
    <row r="439">
      <c r="C439" s="37"/>
      <c r="H439" s="25"/>
    </row>
    <row r="440">
      <c r="C440" s="37"/>
      <c r="H440" s="25"/>
    </row>
    <row r="441">
      <c r="C441" s="37"/>
      <c r="H441" s="25"/>
    </row>
    <row r="442">
      <c r="C442" s="37"/>
      <c r="H442" s="25"/>
    </row>
    <row r="443">
      <c r="C443" s="37"/>
      <c r="H443" s="25"/>
    </row>
    <row r="444">
      <c r="C444" s="37"/>
      <c r="H444" s="25"/>
    </row>
    <row r="445">
      <c r="C445" s="37"/>
      <c r="H445" s="25"/>
    </row>
    <row r="446">
      <c r="C446" s="37"/>
      <c r="H446" s="25"/>
    </row>
    <row r="447">
      <c r="C447" s="37"/>
      <c r="H447" s="25"/>
    </row>
    <row r="448">
      <c r="C448" s="37"/>
      <c r="H448" s="25"/>
    </row>
    <row r="449">
      <c r="C449" s="37"/>
      <c r="H449" s="25"/>
    </row>
    <row r="450">
      <c r="C450" s="37"/>
      <c r="H450" s="25"/>
    </row>
    <row r="451">
      <c r="C451" s="37"/>
      <c r="H451" s="25"/>
    </row>
    <row r="452">
      <c r="C452" s="37"/>
      <c r="H452" s="25"/>
    </row>
    <row r="453">
      <c r="C453" s="37"/>
      <c r="H453" s="25"/>
    </row>
    <row r="454">
      <c r="C454" s="37"/>
      <c r="H454" s="25"/>
    </row>
    <row r="455">
      <c r="C455" s="37"/>
      <c r="H455" s="25"/>
    </row>
    <row r="456">
      <c r="C456" s="37"/>
      <c r="H456" s="25"/>
    </row>
    <row r="457">
      <c r="C457" s="37"/>
      <c r="H457" s="25"/>
    </row>
    <row r="458">
      <c r="C458" s="37"/>
      <c r="H458" s="25"/>
    </row>
    <row r="459">
      <c r="C459" s="37"/>
      <c r="H459" s="25"/>
    </row>
    <row r="460">
      <c r="C460" s="37"/>
      <c r="H460" s="25"/>
    </row>
    <row r="461">
      <c r="C461" s="37"/>
      <c r="H461" s="25"/>
    </row>
    <row r="462">
      <c r="C462" s="37"/>
      <c r="H462" s="25"/>
    </row>
    <row r="463">
      <c r="C463" s="37"/>
      <c r="H463" s="25"/>
    </row>
    <row r="464">
      <c r="C464" s="37"/>
      <c r="H464" s="25"/>
    </row>
    <row r="465">
      <c r="C465" s="37"/>
      <c r="H465" s="25"/>
    </row>
    <row r="466">
      <c r="C466" s="37"/>
      <c r="H466" s="25"/>
    </row>
    <row r="467">
      <c r="C467" s="37"/>
      <c r="H467" s="25"/>
    </row>
    <row r="468">
      <c r="C468" s="37"/>
      <c r="H468" s="25"/>
    </row>
    <row r="469">
      <c r="C469" s="37"/>
      <c r="H469" s="25"/>
    </row>
    <row r="470">
      <c r="C470" s="37"/>
      <c r="H470" s="25"/>
    </row>
    <row r="471">
      <c r="C471" s="37"/>
      <c r="H471" s="25"/>
    </row>
    <row r="472">
      <c r="C472" s="37"/>
      <c r="H472" s="25"/>
    </row>
    <row r="473">
      <c r="C473" s="37"/>
      <c r="H473" s="25"/>
    </row>
    <row r="474">
      <c r="C474" s="37"/>
      <c r="H474" s="25"/>
    </row>
    <row r="475">
      <c r="C475" s="37"/>
      <c r="H475" s="25"/>
    </row>
    <row r="476">
      <c r="C476" s="37"/>
      <c r="H476" s="25"/>
    </row>
    <row r="477">
      <c r="C477" s="37"/>
      <c r="H477" s="25"/>
    </row>
    <row r="478">
      <c r="C478" s="37"/>
      <c r="H478" s="25"/>
    </row>
    <row r="479">
      <c r="C479" s="37"/>
      <c r="H479" s="25"/>
    </row>
    <row r="480">
      <c r="C480" s="37"/>
      <c r="H480" s="25"/>
    </row>
    <row r="481">
      <c r="C481" s="37"/>
      <c r="H481" s="25"/>
    </row>
    <row r="482">
      <c r="C482" s="37"/>
      <c r="H482" s="25"/>
    </row>
    <row r="483">
      <c r="C483" s="37"/>
      <c r="H483" s="25"/>
    </row>
    <row r="484">
      <c r="C484" s="37"/>
      <c r="H484" s="25"/>
    </row>
    <row r="485">
      <c r="C485" s="37"/>
      <c r="H485" s="25"/>
    </row>
    <row r="486">
      <c r="C486" s="37"/>
      <c r="H486" s="25"/>
    </row>
    <row r="487">
      <c r="C487" s="37"/>
      <c r="H487" s="25"/>
    </row>
    <row r="488">
      <c r="C488" s="37"/>
      <c r="H488" s="25"/>
    </row>
    <row r="489">
      <c r="C489" s="37"/>
      <c r="H489" s="25"/>
    </row>
    <row r="490">
      <c r="C490" s="37"/>
      <c r="H490" s="25"/>
    </row>
    <row r="491">
      <c r="C491" s="37"/>
      <c r="H491" s="25"/>
    </row>
    <row r="492">
      <c r="C492" s="37"/>
      <c r="H492" s="25"/>
    </row>
    <row r="493">
      <c r="C493" s="37"/>
      <c r="H493" s="25"/>
    </row>
    <row r="494">
      <c r="C494" s="37"/>
      <c r="H494" s="25"/>
    </row>
    <row r="495">
      <c r="C495" s="37"/>
      <c r="H495" s="25"/>
    </row>
    <row r="496">
      <c r="C496" s="37"/>
      <c r="H496" s="25"/>
    </row>
    <row r="497">
      <c r="C497" s="37"/>
      <c r="H497" s="25"/>
    </row>
    <row r="498">
      <c r="C498" s="37"/>
      <c r="H498" s="25"/>
    </row>
    <row r="499">
      <c r="C499" s="37"/>
      <c r="H499" s="25"/>
    </row>
    <row r="500">
      <c r="C500" s="37"/>
      <c r="H500" s="25"/>
    </row>
    <row r="501">
      <c r="C501" s="37"/>
      <c r="H501" s="25"/>
    </row>
    <row r="502">
      <c r="C502" s="37"/>
      <c r="H502" s="25"/>
    </row>
    <row r="503">
      <c r="C503" s="37"/>
      <c r="H503" s="25"/>
    </row>
    <row r="504">
      <c r="C504" s="37"/>
      <c r="H504" s="25"/>
    </row>
    <row r="505">
      <c r="C505" s="37"/>
      <c r="H505" s="25"/>
    </row>
    <row r="506">
      <c r="C506" s="37"/>
      <c r="H506" s="25"/>
    </row>
    <row r="507">
      <c r="C507" s="37"/>
      <c r="H507" s="25"/>
    </row>
    <row r="508">
      <c r="C508" s="37"/>
      <c r="H508" s="25"/>
    </row>
    <row r="509">
      <c r="C509" s="37"/>
      <c r="H509" s="25"/>
    </row>
    <row r="510">
      <c r="C510" s="37"/>
      <c r="H510" s="25"/>
    </row>
    <row r="511">
      <c r="C511" s="37"/>
      <c r="H511" s="25"/>
    </row>
    <row r="512">
      <c r="C512" s="37"/>
      <c r="H512" s="25"/>
    </row>
    <row r="513">
      <c r="C513" s="37"/>
      <c r="H513" s="25"/>
    </row>
    <row r="514">
      <c r="C514" s="37"/>
      <c r="H514" s="25"/>
    </row>
    <row r="515">
      <c r="C515" s="37"/>
      <c r="H515" s="25"/>
    </row>
    <row r="516">
      <c r="C516" s="37"/>
      <c r="H516" s="25"/>
    </row>
    <row r="517">
      <c r="C517" s="37"/>
      <c r="H517" s="25"/>
    </row>
    <row r="518">
      <c r="C518" s="37"/>
      <c r="H518" s="25"/>
    </row>
    <row r="519">
      <c r="C519" s="37"/>
      <c r="H519" s="25"/>
    </row>
    <row r="520">
      <c r="C520" s="37"/>
      <c r="H520" s="25"/>
    </row>
    <row r="521">
      <c r="C521" s="37"/>
      <c r="H521" s="25"/>
    </row>
    <row r="522">
      <c r="C522" s="37"/>
      <c r="H522" s="25"/>
    </row>
    <row r="523">
      <c r="C523" s="37"/>
      <c r="H523" s="25"/>
    </row>
    <row r="524">
      <c r="C524" s="37"/>
      <c r="H524" s="25"/>
    </row>
    <row r="525">
      <c r="C525" s="37"/>
      <c r="H525" s="25"/>
    </row>
    <row r="526">
      <c r="C526" s="37"/>
      <c r="H526" s="25"/>
    </row>
    <row r="527">
      <c r="C527" s="37"/>
      <c r="H527" s="25"/>
    </row>
    <row r="528">
      <c r="C528" s="37"/>
      <c r="H528" s="25"/>
    </row>
    <row r="529">
      <c r="C529" s="37"/>
      <c r="H529" s="25"/>
    </row>
    <row r="530">
      <c r="C530" s="37"/>
      <c r="H530" s="25"/>
    </row>
    <row r="531">
      <c r="C531" s="37"/>
      <c r="H531" s="25"/>
    </row>
    <row r="532">
      <c r="C532" s="37"/>
      <c r="H532" s="25"/>
    </row>
    <row r="533">
      <c r="C533" s="37"/>
      <c r="H533" s="25"/>
    </row>
    <row r="534">
      <c r="C534" s="37"/>
      <c r="H534" s="25"/>
    </row>
    <row r="535">
      <c r="C535" s="37"/>
      <c r="H535" s="25"/>
    </row>
    <row r="536">
      <c r="C536" s="37"/>
      <c r="H536" s="25"/>
    </row>
    <row r="537">
      <c r="C537" s="37"/>
      <c r="H537" s="25"/>
    </row>
    <row r="538">
      <c r="C538" s="37"/>
      <c r="H538" s="25"/>
    </row>
    <row r="539">
      <c r="C539" s="37"/>
      <c r="H539" s="25"/>
    </row>
    <row r="540">
      <c r="C540" s="37"/>
      <c r="H540" s="25"/>
    </row>
    <row r="541">
      <c r="C541" s="37"/>
      <c r="H541" s="25"/>
    </row>
    <row r="542">
      <c r="C542" s="37"/>
      <c r="H542" s="25"/>
    </row>
    <row r="543">
      <c r="C543" s="37"/>
      <c r="H543" s="25"/>
    </row>
    <row r="544">
      <c r="C544" s="37"/>
      <c r="H544" s="25"/>
    </row>
    <row r="545">
      <c r="C545" s="37"/>
      <c r="H545" s="25"/>
    </row>
    <row r="546">
      <c r="C546" s="37"/>
      <c r="H546" s="25"/>
    </row>
    <row r="547">
      <c r="C547" s="37"/>
      <c r="H547" s="25"/>
    </row>
    <row r="548">
      <c r="C548" s="37"/>
      <c r="H548" s="25"/>
    </row>
    <row r="549">
      <c r="C549" s="37"/>
      <c r="H549" s="25"/>
    </row>
    <row r="550">
      <c r="C550" s="37"/>
      <c r="H550" s="25"/>
    </row>
    <row r="551">
      <c r="C551" s="37"/>
      <c r="H551" s="25"/>
    </row>
    <row r="552">
      <c r="C552" s="37"/>
      <c r="H552" s="25"/>
    </row>
    <row r="553">
      <c r="C553" s="37"/>
      <c r="H553" s="25"/>
    </row>
    <row r="554">
      <c r="C554" s="37"/>
      <c r="H554" s="25"/>
    </row>
    <row r="555">
      <c r="C555" s="37"/>
      <c r="H555" s="25"/>
    </row>
    <row r="556">
      <c r="C556" s="37"/>
      <c r="H556" s="25"/>
    </row>
    <row r="557">
      <c r="C557" s="37"/>
      <c r="H557" s="25"/>
    </row>
    <row r="558">
      <c r="C558" s="37"/>
      <c r="H558" s="25"/>
    </row>
    <row r="559">
      <c r="C559" s="37"/>
      <c r="H559" s="25"/>
    </row>
    <row r="560">
      <c r="C560" s="37"/>
      <c r="H560" s="25"/>
    </row>
    <row r="561">
      <c r="C561" s="37"/>
      <c r="H561" s="25"/>
    </row>
    <row r="562">
      <c r="C562" s="37"/>
      <c r="H562" s="25"/>
    </row>
    <row r="563">
      <c r="C563" s="37"/>
      <c r="H563" s="25"/>
    </row>
    <row r="564">
      <c r="C564" s="37"/>
      <c r="H564" s="25"/>
    </row>
    <row r="565">
      <c r="C565" s="37"/>
      <c r="H565" s="25"/>
    </row>
    <row r="566">
      <c r="C566" s="37"/>
      <c r="H566" s="25"/>
    </row>
    <row r="567">
      <c r="C567" s="37"/>
      <c r="H567" s="25"/>
    </row>
    <row r="568">
      <c r="C568" s="37"/>
      <c r="H568" s="25"/>
    </row>
    <row r="569">
      <c r="C569" s="37"/>
      <c r="H569" s="25"/>
    </row>
    <row r="570">
      <c r="C570" s="37"/>
      <c r="H570" s="25"/>
    </row>
    <row r="571">
      <c r="C571" s="37"/>
      <c r="H571" s="25"/>
    </row>
    <row r="572">
      <c r="C572" s="37"/>
      <c r="H572" s="25"/>
    </row>
    <row r="573">
      <c r="C573" s="37"/>
      <c r="H573" s="25"/>
    </row>
    <row r="574">
      <c r="C574" s="37"/>
      <c r="H574" s="25"/>
    </row>
    <row r="575">
      <c r="C575" s="37"/>
      <c r="H575" s="25"/>
    </row>
    <row r="576">
      <c r="C576" s="37"/>
      <c r="H576" s="25"/>
    </row>
    <row r="577">
      <c r="C577" s="37"/>
      <c r="H577" s="25"/>
    </row>
    <row r="578">
      <c r="C578" s="37"/>
      <c r="H578" s="25"/>
    </row>
    <row r="579">
      <c r="C579" s="37"/>
      <c r="H579" s="25"/>
    </row>
    <row r="580">
      <c r="C580" s="37"/>
      <c r="H580" s="25"/>
    </row>
    <row r="581">
      <c r="C581" s="37"/>
      <c r="H581" s="25"/>
    </row>
    <row r="582">
      <c r="C582" s="37"/>
      <c r="H582" s="25"/>
    </row>
    <row r="583">
      <c r="C583" s="37"/>
      <c r="H583" s="25"/>
    </row>
    <row r="584">
      <c r="C584" s="37"/>
      <c r="H584" s="25"/>
    </row>
    <row r="585">
      <c r="C585" s="37"/>
      <c r="H585" s="25"/>
    </row>
    <row r="586">
      <c r="C586" s="37"/>
      <c r="H586" s="25"/>
    </row>
    <row r="587">
      <c r="C587" s="37"/>
      <c r="H587" s="25"/>
    </row>
    <row r="588">
      <c r="C588" s="37"/>
      <c r="H588" s="25"/>
    </row>
    <row r="589">
      <c r="C589" s="37"/>
      <c r="H589" s="25"/>
    </row>
    <row r="590">
      <c r="C590" s="37"/>
      <c r="H590" s="25"/>
    </row>
    <row r="591">
      <c r="C591" s="37"/>
      <c r="H591" s="25"/>
    </row>
    <row r="592">
      <c r="C592" s="37"/>
      <c r="H592" s="25"/>
    </row>
    <row r="593">
      <c r="C593" s="37"/>
      <c r="H593" s="25"/>
    </row>
    <row r="594">
      <c r="C594" s="37"/>
      <c r="H594" s="25"/>
    </row>
    <row r="595">
      <c r="C595" s="37"/>
      <c r="H595" s="25"/>
    </row>
    <row r="596">
      <c r="C596" s="37"/>
      <c r="H596" s="25"/>
    </row>
    <row r="597">
      <c r="C597" s="37"/>
      <c r="H597" s="25"/>
    </row>
    <row r="598">
      <c r="C598" s="37"/>
      <c r="H598" s="25"/>
    </row>
    <row r="599">
      <c r="C599" s="37"/>
      <c r="H599" s="25"/>
    </row>
    <row r="600">
      <c r="C600" s="37"/>
      <c r="H600" s="25"/>
    </row>
    <row r="601">
      <c r="C601" s="37"/>
      <c r="H601" s="25"/>
    </row>
    <row r="602">
      <c r="C602" s="37"/>
      <c r="H602" s="25"/>
    </row>
    <row r="603">
      <c r="C603" s="37"/>
      <c r="H603" s="25"/>
    </row>
    <row r="604">
      <c r="C604" s="37"/>
      <c r="H604" s="25"/>
    </row>
    <row r="605">
      <c r="C605" s="37"/>
      <c r="H605" s="25"/>
    </row>
    <row r="606">
      <c r="C606" s="37"/>
      <c r="H606" s="25"/>
    </row>
    <row r="607">
      <c r="C607" s="37"/>
      <c r="H607" s="25"/>
    </row>
    <row r="608">
      <c r="C608" s="37"/>
      <c r="H608" s="25"/>
    </row>
    <row r="609">
      <c r="C609" s="37"/>
      <c r="H609" s="25"/>
    </row>
    <row r="610">
      <c r="C610" s="37"/>
      <c r="H610" s="25"/>
    </row>
    <row r="611">
      <c r="C611" s="37"/>
      <c r="H611" s="25"/>
    </row>
    <row r="612">
      <c r="C612" s="37"/>
      <c r="H612" s="25"/>
    </row>
    <row r="613">
      <c r="C613" s="37"/>
      <c r="H613" s="25"/>
    </row>
    <row r="614">
      <c r="C614" s="37"/>
      <c r="H614" s="25"/>
    </row>
    <row r="615">
      <c r="C615" s="37"/>
      <c r="H615" s="25"/>
    </row>
    <row r="616">
      <c r="C616" s="37"/>
      <c r="H616" s="25"/>
    </row>
    <row r="617">
      <c r="C617" s="37"/>
      <c r="H617" s="25"/>
    </row>
    <row r="618">
      <c r="C618" s="37"/>
      <c r="H618" s="25"/>
    </row>
    <row r="619">
      <c r="C619" s="37"/>
      <c r="H619" s="25"/>
    </row>
    <row r="620">
      <c r="C620" s="37"/>
      <c r="H620" s="25"/>
    </row>
    <row r="621">
      <c r="C621" s="37"/>
      <c r="H621" s="25"/>
    </row>
    <row r="622">
      <c r="C622" s="37"/>
      <c r="H622" s="25"/>
    </row>
    <row r="623">
      <c r="C623" s="37"/>
      <c r="H623" s="25"/>
    </row>
    <row r="624">
      <c r="C624" s="37"/>
      <c r="H624" s="25"/>
    </row>
    <row r="625">
      <c r="C625" s="37"/>
      <c r="H625" s="25"/>
    </row>
    <row r="626">
      <c r="C626" s="37"/>
      <c r="H626" s="25"/>
    </row>
    <row r="627">
      <c r="C627" s="37"/>
      <c r="H627" s="25"/>
    </row>
    <row r="628">
      <c r="C628" s="37"/>
      <c r="H628" s="25"/>
    </row>
    <row r="629">
      <c r="C629" s="37"/>
      <c r="H629" s="25"/>
    </row>
    <row r="630">
      <c r="C630" s="37"/>
      <c r="H630" s="25"/>
    </row>
    <row r="631">
      <c r="C631" s="37"/>
      <c r="H631" s="25"/>
    </row>
    <row r="632">
      <c r="C632" s="37"/>
      <c r="H632" s="25"/>
    </row>
    <row r="633">
      <c r="C633" s="37"/>
      <c r="H633" s="25"/>
    </row>
    <row r="634">
      <c r="C634" s="37"/>
      <c r="H634" s="25"/>
    </row>
    <row r="635">
      <c r="C635" s="37"/>
      <c r="H635" s="25"/>
    </row>
    <row r="636">
      <c r="C636" s="37"/>
      <c r="H636" s="25"/>
    </row>
    <row r="637">
      <c r="C637" s="37"/>
      <c r="H637" s="25"/>
    </row>
    <row r="638">
      <c r="C638" s="37"/>
      <c r="H638" s="25"/>
    </row>
    <row r="639">
      <c r="C639" s="37"/>
      <c r="H639" s="25"/>
    </row>
    <row r="640">
      <c r="C640" s="37"/>
      <c r="H640" s="25"/>
    </row>
    <row r="641">
      <c r="C641" s="37"/>
      <c r="H641" s="25"/>
    </row>
    <row r="642">
      <c r="C642" s="37"/>
      <c r="H642" s="25"/>
    </row>
    <row r="643">
      <c r="C643" s="37"/>
      <c r="H643" s="25"/>
    </row>
    <row r="644">
      <c r="C644" s="37"/>
      <c r="H644" s="25"/>
    </row>
    <row r="645">
      <c r="C645" s="37"/>
      <c r="H645" s="25"/>
    </row>
    <row r="646">
      <c r="C646" s="37"/>
      <c r="H646" s="25"/>
    </row>
    <row r="647">
      <c r="C647" s="37"/>
      <c r="H647" s="25"/>
    </row>
    <row r="648">
      <c r="C648" s="37"/>
      <c r="H648" s="25"/>
    </row>
    <row r="649">
      <c r="C649" s="37"/>
      <c r="H649" s="25"/>
    </row>
    <row r="650">
      <c r="C650" s="37"/>
      <c r="H650" s="25"/>
    </row>
    <row r="651">
      <c r="C651" s="37"/>
      <c r="H651" s="25"/>
    </row>
    <row r="652">
      <c r="C652" s="37"/>
      <c r="H652" s="25"/>
    </row>
    <row r="653">
      <c r="C653" s="37"/>
      <c r="H653" s="25"/>
    </row>
    <row r="654">
      <c r="C654" s="37"/>
      <c r="H654" s="25"/>
    </row>
    <row r="655">
      <c r="C655" s="37"/>
      <c r="H655" s="25"/>
    </row>
    <row r="656">
      <c r="C656" s="37"/>
      <c r="H656" s="25"/>
    </row>
    <row r="657">
      <c r="C657" s="37"/>
      <c r="H657" s="25"/>
    </row>
    <row r="658">
      <c r="C658" s="37"/>
      <c r="H658" s="25"/>
    </row>
    <row r="659">
      <c r="C659" s="37"/>
      <c r="H659" s="25"/>
    </row>
    <row r="660">
      <c r="C660" s="37"/>
      <c r="H660" s="25"/>
    </row>
    <row r="661">
      <c r="C661" s="37"/>
      <c r="H661" s="25"/>
    </row>
    <row r="662">
      <c r="C662" s="37"/>
      <c r="H662" s="25"/>
    </row>
    <row r="663">
      <c r="C663" s="37"/>
      <c r="H663" s="25"/>
    </row>
    <row r="664">
      <c r="C664" s="37"/>
      <c r="H664" s="25"/>
    </row>
    <row r="665">
      <c r="C665" s="37"/>
      <c r="H665" s="25"/>
    </row>
    <row r="666">
      <c r="C666" s="37"/>
      <c r="H666" s="25"/>
    </row>
    <row r="667">
      <c r="C667" s="37"/>
      <c r="H667" s="25"/>
    </row>
    <row r="668">
      <c r="C668" s="37"/>
      <c r="H668" s="25"/>
    </row>
    <row r="669">
      <c r="C669" s="37"/>
      <c r="H669" s="25"/>
    </row>
    <row r="670">
      <c r="C670" s="37"/>
      <c r="H670" s="25"/>
    </row>
    <row r="671">
      <c r="C671" s="37"/>
      <c r="H671" s="25"/>
    </row>
    <row r="672">
      <c r="C672" s="37"/>
      <c r="H672" s="25"/>
    </row>
    <row r="673">
      <c r="C673" s="37"/>
      <c r="H673" s="25"/>
    </row>
    <row r="674">
      <c r="C674" s="37"/>
      <c r="H674" s="25"/>
    </row>
    <row r="675">
      <c r="C675" s="37"/>
      <c r="H675" s="25"/>
    </row>
    <row r="676">
      <c r="C676" s="37"/>
      <c r="H676" s="25"/>
    </row>
    <row r="677">
      <c r="C677" s="37"/>
      <c r="H677" s="25"/>
    </row>
    <row r="678">
      <c r="C678" s="37"/>
      <c r="H678" s="25"/>
    </row>
    <row r="679">
      <c r="C679" s="37"/>
      <c r="H679" s="25"/>
    </row>
    <row r="680">
      <c r="C680" s="37"/>
      <c r="H680" s="25"/>
    </row>
    <row r="681">
      <c r="C681" s="37"/>
      <c r="H681" s="25"/>
    </row>
    <row r="682">
      <c r="C682" s="37"/>
      <c r="H682" s="25"/>
    </row>
    <row r="683">
      <c r="C683" s="37"/>
      <c r="H683" s="25"/>
    </row>
    <row r="684">
      <c r="C684" s="37"/>
      <c r="H684" s="25"/>
    </row>
    <row r="685">
      <c r="C685" s="37"/>
      <c r="H685" s="25"/>
    </row>
    <row r="686">
      <c r="C686" s="37"/>
      <c r="H686" s="25"/>
    </row>
    <row r="687">
      <c r="C687" s="37"/>
      <c r="H687" s="25"/>
    </row>
    <row r="688">
      <c r="C688" s="37"/>
      <c r="H688" s="25"/>
    </row>
    <row r="689">
      <c r="C689" s="37"/>
      <c r="H689" s="25"/>
    </row>
    <row r="690">
      <c r="C690" s="37"/>
      <c r="H690" s="25"/>
    </row>
    <row r="691">
      <c r="C691" s="37"/>
      <c r="H691" s="25"/>
    </row>
    <row r="692">
      <c r="C692" s="37"/>
      <c r="H692" s="25"/>
    </row>
    <row r="693">
      <c r="C693" s="37"/>
      <c r="H693" s="25"/>
    </row>
    <row r="694">
      <c r="C694" s="37"/>
      <c r="H694" s="25"/>
    </row>
    <row r="695">
      <c r="C695" s="37"/>
      <c r="H695" s="25"/>
    </row>
    <row r="696">
      <c r="C696" s="37"/>
      <c r="H696" s="25"/>
    </row>
    <row r="697">
      <c r="C697" s="37"/>
      <c r="H697" s="25"/>
    </row>
    <row r="698">
      <c r="C698" s="37"/>
      <c r="H698" s="25"/>
    </row>
    <row r="699">
      <c r="C699" s="37"/>
      <c r="H699" s="25"/>
    </row>
    <row r="700">
      <c r="C700" s="37"/>
      <c r="H700" s="25"/>
    </row>
    <row r="701">
      <c r="C701" s="37"/>
      <c r="H701" s="25"/>
    </row>
    <row r="702">
      <c r="C702" s="37"/>
      <c r="H702" s="25"/>
    </row>
    <row r="703">
      <c r="C703" s="37"/>
      <c r="H703" s="25"/>
    </row>
    <row r="704">
      <c r="C704" s="37"/>
      <c r="H704" s="25"/>
    </row>
    <row r="705">
      <c r="C705" s="37"/>
      <c r="H705" s="25"/>
    </row>
    <row r="706">
      <c r="C706" s="37"/>
      <c r="H706" s="25"/>
    </row>
    <row r="707">
      <c r="C707" s="37"/>
      <c r="H707" s="25"/>
    </row>
    <row r="708">
      <c r="C708" s="37"/>
      <c r="H708" s="25"/>
    </row>
    <row r="709">
      <c r="C709" s="37"/>
      <c r="H709" s="25"/>
    </row>
    <row r="710">
      <c r="C710" s="37"/>
      <c r="H710" s="25"/>
    </row>
    <row r="711">
      <c r="C711" s="37"/>
      <c r="H711" s="25"/>
    </row>
    <row r="712">
      <c r="C712" s="37"/>
      <c r="H712" s="25"/>
    </row>
    <row r="713">
      <c r="C713" s="37"/>
      <c r="H713" s="25"/>
    </row>
    <row r="714">
      <c r="C714" s="37"/>
      <c r="H714" s="25"/>
    </row>
    <row r="715">
      <c r="C715" s="37"/>
      <c r="H715" s="25"/>
    </row>
    <row r="716">
      <c r="C716" s="37"/>
      <c r="H716" s="25"/>
    </row>
    <row r="717">
      <c r="C717" s="37"/>
      <c r="H717" s="25"/>
    </row>
    <row r="718">
      <c r="C718" s="37"/>
      <c r="H718" s="25"/>
    </row>
    <row r="719">
      <c r="C719" s="37"/>
      <c r="H719" s="25"/>
    </row>
    <row r="720">
      <c r="C720" s="37"/>
      <c r="H720" s="25"/>
    </row>
    <row r="721">
      <c r="C721" s="37"/>
      <c r="H721" s="25"/>
    </row>
    <row r="722">
      <c r="C722" s="37"/>
      <c r="H722" s="25"/>
    </row>
    <row r="723">
      <c r="C723" s="37"/>
      <c r="H723" s="25"/>
    </row>
    <row r="724">
      <c r="C724" s="37"/>
      <c r="H724" s="25"/>
    </row>
    <row r="725">
      <c r="C725" s="37"/>
      <c r="H725" s="25"/>
    </row>
    <row r="726">
      <c r="C726" s="37"/>
      <c r="H726" s="25"/>
    </row>
    <row r="727">
      <c r="C727" s="37"/>
      <c r="H727" s="25"/>
    </row>
    <row r="728">
      <c r="C728" s="37"/>
      <c r="H728" s="25"/>
    </row>
    <row r="729">
      <c r="C729" s="37"/>
      <c r="H729" s="25"/>
    </row>
    <row r="730">
      <c r="C730" s="37"/>
      <c r="H730" s="25"/>
    </row>
    <row r="731">
      <c r="C731" s="37"/>
      <c r="H731" s="25"/>
    </row>
    <row r="732">
      <c r="C732" s="37"/>
      <c r="H732" s="25"/>
    </row>
    <row r="733">
      <c r="C733" s="37"/>
      <c r="H733" s="25"/>
    </row>
    <row r="734">
      <c r="C734" s="37"/>
      <c r="H734" s="25"/>
    </row>
    <row r="735">
      <c r="C735" s="37"/>
      <c r="H735" s="25"/>
    </row>
    <row r="736">
      <c r="C736" s="37"/>
      <c r="H736" s="25"/>
    </row>
    <row r="737">
      <c r="C737" s="37"/>
      <c r="H737" s="25"/>
    </row>
    <row r="738">
      <c r="C738" s="37"/>
      <c r="H738" s="25"/>
    </row>
    <row r="739">
      <c r="C739" s="37"/>
      <c r="H739" s="25"/>
    </row>
    <row r="740">
      <c r="C740" s="37"/>
      <c r="H740" s="25"/>
    </row>
    <row r="741">
      <c r="C741" s="37"/>
      <c r="H741" s="25"/>
    </row>
    <row r="742">
      <c r="C742" s="37"/>
      <c r="H742" s="25"/>
    </row>
    <row r="743">
      <c r="C743" s="37"/>
      <c r="H743" s="25"/>
    </row>
    <row r="744">
      <c r="C744" s="37"/>
      <c r="H744" s="25"/>
    </row>
    <row r="745">
      <c r="C745" s="37"/>
      <c r="H745" s="25"/>
    </row>
    <row r="746">
      <c r="C746" s="37"/>
      <c r="H746" s="25"/>
    </row>
    <row r="747">
      <c r="C747" s="37"/>
      <c r="H747" s="25"/>
    </row>
    <row r="748">
      <c r="C748" s="37"/>
      <c r="H748" s="25"/>
    </row>
    <row r="749">
      <c r="C749" s="37"/>
      <c r="H749" s="25"/>
    </row>
    <row r="750">
      <c r="C750" s="37"/>
      <c r="H750" s="25"/>
    </row>
    <row r="751">
      <c r="C751" s="37"/>
      <c r="H751" s="25"/>
    </row>
    <row r="752">
      <c r="C752" s="37"/>
      <c r="H752" s="25"/>
    </row>
    <row r="753">
      <c r="C753" s="37"/>
      <c r="H753" s="25"/>
    </row>
    <row r="754">
      <c r="C754" s="37"/>
      <c r="H754" s="25"/>
    </row>
    <row r="755">
      <c r="C755" s="37"/>
      <c r="H755" s="25"/>
    </row>
    <row r="756">
      <c r="C756" s="37"/>
      <c r="H756" s="25"/>
    </row>
    <row r="757">
      <c r="C757" s="37"/>
      <c r="H757" s="25"/>
    </row>
    <row r="758">
      <c r="C758" s="37"/>
      <c r="H758" s="25"/>
    </row>
    <row r="759">
      <c r="C759" s="37"/>
      <c r="H759" s="25"/>
    </row>
    <row r="760">
      <c r="C760" s="37"/>
      <c r="H760" s="25"/>
    </row>
    <row r="761">
      <c r="C761" s="37"/>
      <c r="H761" s="25"/>
    </row>
    <row r="762">
      <c r="C762" s="37"/>
      <c r="H762" s="25"/>
    </row>
    <row r="763">
      <c r="C763" s="37"/>
      <c r="H763" s="25"/>
    </row>
    <row r="764">
      <c r="C764" s="37"/>
      <c r="H764" s="25"/>
    </row>
    <row r="765">
      <c r="C765" s="37"/>
      <c r="H765" s="25"/>
    </row>
    <row r="766">
      <c r="C766" s="37"/>
      <c r="H766" s="25"/>
    </row>
    <row r="767">
      <c r="C767" s="37"/>
      <c r="H767" s="25"/>
    </row>
    <row r="768">
      <c r="C768" s="37"/>
      <c r="H768" s="25"/>
    </row>
    <row r="769">
      <c r="C769" s="37"/>
      <c r="H769" s="25"/>
    </row>
    <row r="770">
      <c r="C770" s="37"/>
      <c r="H770" s="25"/>
    </row>
    <row r="771">
      <c r="C771" s="37"/>
      <c r="H771" s="25"/>
    </row>
    <row r="772">
      <c r="C772" s="37"/>
      <c r="H772" s="25"/>
    </row>
    <row r="773">
      <c r="C773" s="37"/>
      <c r="H773" s="25"/>
    </row>
    <row r="774">
      <c r="C774" s="37"/>
      <c r="H774" s="25"/>
    </row>
    <row r="775">
      <c r="C775" s="37"/>
      <c r="H775" s="25"/>
    </row>
    <row r="776">
      <c r="C776" s="37"/>
      <c r="H776" s="25"/>
    </row>
    <row r="777">
      <c r="C777" s="37"/>
      <c r="H777" s="25"/>
    </row>
    <row r="778">
      <c r="C778" s="37"/>
      <c r="H778" s="25"/>
    </row>
    <row r="779">
      <c r="C779" s="37"/>
      <c r="H779" s="25"/>
    </row>
    <row r="780">
      <c r="C780" s="37"/>
      <c r="H780" s="25"/>
    </row>
    <row r="781">
      <c r="C781" s="37"/>
      <c r="H781" s="25"/>
    </row>
    <row r="782">
      <c r="C782" s="37"/>
      <c r="H782" s="25"/>
    </row>
    <row r="783">
      <c r="C783" s="37"/>
      <c r="H783" s="25"/>
    </row>
    <row r="784">
      <c r="C784" s="37"/>
      <c r="H784" s="25"/>
    </row>
    <row r="785">
      <c r="C785" s="37"/>
      <c r="H785" s="25"/>
    </row>
    <row r="786">
      <c r="C786" s="37"/>
      <c r="H786" s="25"/>
    </row>
    <row r="787">
      <c r="C787" s="37"/>
      <c r="H787" s="25"/>
    </row>
    <row r="788">
      <c r="C788" s="37"/>
      <c r="H788" s="25"/>
    </row>
    <row r="789">
      <c r="C789" s="37"/>
      <c r="H789" s="25"/>
    </row>
    <row r="790">
      <c r="C790" s="37"/>
      <c r="H790" s="25"/>
    </row>
    <row r="791">
      <c r="C791" s="37"/>
      <c r="H791" s="25"/>
    </row>
    <row r="792">
      <c r="C792" s="37"/>
      <c r="H792" s="25"/>
    </row>
    <row r="793">
      <c r="C793" s="37"/>
      <c r="H793" s="25"/>
    </row>
    <row r="794">
      <c r="C794" s="37"/>
      <c r="H794" s="25"/>
    </row>
    <row r="795">
      <c r="C795" s="37"/>
      <c r="H795" s="25"/>
    </row>
    <row r="796">
      <c r="C796" s="37"/>
      <c r="H796" s="25"/>
    </row>
    <row r="797">
      <c r="C797" s="37"/>
      <c r="H797" s="25"/>
    </row>
    <row r="798">
      <c r="C798" s="37"/>
      <c r="H798" s="25"/>
    </row>
    <row r="799">
      <c r="C799" s="37"/>
      <c r="H799" s="25"/>
    </row>
    <row r="800">
      <c r="C800" s="37"/>
      <c r="H800" s="25"/>
    </row>
    <row r="801">
      <c r="C801" s="37"/>
      <c r="H801" s="25"/>
    </row>
    <row r="802">
      <c r="C802" s="37"/>
      <c r="H802" s="25"/>
    </row>
    <row r="803">
      <c r="C803" s="37"/>
      <c r="H803" s="25"/>
    </row>
    <row r="804">
      <c r="C804" s="37"/>
      <c r="H804" s="25"/>
    </row>
    <row r="805">
      <c r="C805" s="37"/>
      <c r="H805" s="25"/>
    </row>
    <row r="806">
      <c r="C806" s="37"/>
      <c r="H806" s="25"/>
    </row>
    <row r="807">
      <c r="C807" s="37"/>
      <c r="H807" s="25"/>
    </row>
    <row r="808">
      <c r="C808" s="37"/>
      <c r="H808" s="25"/>
    </row>
    <row r="809">
      <c r="C809" s="37"/>
      <c r="H809" s="25"/>
    </row>
    <row r="810">
      <c r="C810" s="37"/>
      <c r="H810" s="25"/>
    </row>
    <row r="811">
      <c r="C811" s="37"/>
      <c r="H811" s="25"/>
    </row>
    <row r="812">
      <c r="C812" s="37"/>
      <c r="H812" s="25"/>
    </row>
    <row r="813">
      <c r="C813" s="37"/>
      <c r="H813" s="25"/>
    </row>
    <row r="814">
      <c r="C814" s="37"/>
      <c r="H814" s="25"/>
    </row>
    <row r="815">
      <c r="C815" s="37"/>
      <c r="H815" s="25"/>
    </row>
    <row r="816">
      <c r="C816" s="37"/>
      <c r="H816" s="25"/>
    </row>
    <row r="817">
      <c r="C817" s="37"/>
      <c r="H817" s="25"/>
    </row>
    <row r="818">
      <c r="C818" s="37"/>
      <c r="H818" s="25"/>
    </row>
    <row r="819">
      <c r="C819" s="37"/>
      <c r="H819" s="25"/>
    </row>
    <row r="820">
      <c r="C820" s="37"/>
      <c r="H820" s="25"/>
    </row>
    <row r="821">
      <c r="C821" s="37"/>
      <c r="H821" s="25"/>
    </row>
    <row r="822">
      <c r="C822" s="37"/>
      <c r="H822" s="25"/>
    </row>
    <row r="823">
      <c r="C823" s="37"/>
      <c r="H823" s="25"/>
    </row>
    <row r="824">
      <c r="C824" s="37"/>
      <c r="H824" s="25"/>
    </row>
    <row r="825">
      <c r="C825" s="37"/>
      <c r="H825" s="25"/>
    </row>
    <row r="826">
      <c r="C826" s="37"/>
      <c r="H826" s="25"/>
    </row>
    <row r="827">
      <c r="C827" s="37"/>
      <c r="H827" s="25"/>
    </row>
    <row r="828">
      <c r="C828" s="37"/>
      <c r="H828" s="25"/>
    </row>
    <row r="829">
      <c r="C829" s="37"/>
      <c r="H829" s="25"/>
    </row>
    <row r="830">
      <c r="C830" s="37"/>
      <c r="H830" s="25"/>
    </row>
    <row r="831">
      <c r="C831" s="37"/>
      <c r="H831" s="25"/>
    </row>
    <row r="832">
      <c r="C832" s="37"/>
      <c r="H832" s="25"/>
    </row>
    <row r="833">
      <c r="C833" s="37"/>
      <c r="H833" s="25"/>
    </row>
    <row r="834">
      <c r="C834" s="37"/>
      <c r="H834" s="25"/>
    </row>
    <row r="835">
      <c r="C835" s="37"/>
      <c r="H835" s="25"/>
    </row>
    <row r="836">
      <c r="C836" s="37"/>
      <c r="H836" s="25"/>
    </row>
    <row r="837">
      <c r="C837" s="37"/>
      <c r="H837" s="25"/>
    </row>
    <row r="838">
      <c r="C838" s="37"/>
      <c r="H838" s="25"/>
    </row>
    <row r="839">
      <c r="C839" s="37"/>
      <c r="H839" s="25"/>
    </row>
    <row r="840">
      <c r="C840" s="37"/>
      <c r="H840" s="25"/>
    </row>
    <row r="841">
      <c r="C841" s="37"/>
      <c r="H841" s="25"/>
    </row>
    <row r="842">
      <c r="C842" s="37"/>
      <c r="H842" s="25"/>
    </row>
    <row r="843">
      <c r="C843" s="37"/>
      <c r="H843" s="25"/>
    </row>
    <row r="844">
      <c r="C844" s="37"/>
      <c r="H844" s="25"/>
    </row>
    <row r="845">
      <c r="C845" s="37"/>
      <c r="H845" s="25"/>
    </row>
    <row r="846">
      <c r="C846" s="37"/>
      <c r="H846" s="25"/>
    </row>
    <row r="847">
      <c r="C847" s="37"/>
      <c r="H847" s="25"/>
    </row>
    <row r="848">
      <c r="C848" s="37"/>
      <c r="H848" s="25"/>
    </row>
    <row r="849">
      <c r="C849" s="37"/>
      <c r="H849" s="25"/>
    </row>
    <row r="850">
      <c r="C850" s="37"/>
      <c r="H850" s="25"/>
    </row>
    <row r="851">
      <c r="C851" s="37"/>
      <c r="H851" s="25"/>
    </row>
    <row r="852">
      <c r="C852" s="37"/>
      <c r="H852" s="25"/>
    </row>
    <row r="853">
      <c r="C853" s="37"/>
      <c r="H853" s="25"/>
    </row>
    <row r="854">
      <c r="C854" s="37"/>
      <c r="H854" s="25"/>
    </row>
    <row r="855">
      <c r="C855" s="37"/>
      <c r="H855" s="25"/>
    </row>
    <row r="856">
      <c r="C856" s="37"/>
      <c r="H856" s="25"/>
    </row>
    <row r="857">
      <c r="C857" s="37"/>
      <c r="H857" s="25"/>
    </row>
    <row r="858">
      <c r="C858" s="37"/>
      <c r="H858" s="25"/>
    </row>
    <row r="859">
      <c r="C859" s="37"/>
      <c r="H859" s="25"/>
    </row>
    <row r="860">
      <c r="C860" s="37"/>
      <c r="H860" s="25"/>
    </row>
    <row r="861">
      <c r="C861" s="37"/>
      <c r="H861" s="25"/>
    </row>
    <row r="862">
      <c r="C862" s="37"/>
      <c r="H862" s="25"/>
    </row>
    <row r="863">
      <c r="C863" s="37"/>
      <c r="H863" s="25"/>
    </row>
    <row r="864">
      <c r="C864" s="37"/>
      <c r="H864" s="25"/>
    </row>
    <row r="865">
      <c r="C865" s="37"/>
      <c r="H865" s="25"/>
    </row>
    <row r="866">
      <c r="C866" s="37"/>
      <c r="H866" s="25"/>
    </row>
    <row r="867">
      <c r="C867" s="37"/>
      <c r="H867" s="25"/>
    </row>
    <row r="868">
      <c r="C868" s="37"/>
      <c r="H868" s="25"/>
    </row>
    <row r="869">
      <c r="C869" s="37"/>
      <c r="H869" s="25"/>
    </row>
    <row r="870">
      <c r="C870" s="37"/>
      <c r="H870" s="25"/>
    </row>
    <row r="871">
      <c r="C871" s="37"/>
      <c r="H871" s="25"/>
    </row>
    <row r="872">
      <c r="C872" s="37"/>
      <c r="H872" s="25"/>
    </row>
    <row r="873">
      <c r="C873" s="37"/>
      <c r="H873" s="25"/>
    </row>
    <row r="874">
      <c r="C874" s="37"/>
      <c r="H874" s="25"/>
    </row>
    <row r="875">
      <c r="C875" s="37"/>
      <c r="H875" s="25"/>
    </row>
    <row r="876">
      <c r="C876" s="37"/>
      <c r="H876" s="25"/>
    </row>
    <row r="877">
      <c r="C877" s="37"/>
      <c r="H877" s="25"/>
    </row>
    <row r="878">
      <c r="C878" s="37"/>
      <c r="H878" s="25"/>
    </row>
    <row r="879">
      <c r="C879" s="37"/>
      <c r="H879" s="25"/>
    </row>
    <row r="880">
      <c r="C880" s="37"/>
      <c r="H880" s="25"/>
    </row>
    <row r="881">
      <c r="C881" s="37"/>
      <c r="H881" s="25"/>
    </row>
    <row r="882">
      <c r="C882" s="37"/>
      <c r="H882" s="25"/>
    </row>
    <row r="883">
      <c r="C883" s="37"/>
      <c r="H883" s="25"/>
    </row>
    <row r="884">
      <c r="C884" s="37"/>
      <c r="H884" s="25"/>
    </row>
    <row r="885">
      <c r="C885" s="37"/>
      <c r="H885" s="25"/>
    </row>
    <row r="886">
      <c r="C886" s="37"/>
      <c r="H886" s="25"/>
    </row>
    <row r="887">
      <c r="C887" s="37"/>
      <c r="H887" s="25"/>
    </row>
    <row r="888">
      <c r="C888" s="37"/>
      <c r="H888" s="25"/>
    </row>
    <row r="889">
      <c r="C889" s="37"/>
      <c r="H889" s="25"/>
    </row>
    <row r="890">
      <c r="C890" s="37"/>
      <c r="H890" s="25"/>
    </row>
    <row r="891">
      <c r="C891" s="37"/>
      <c r="H891" s="25"/>
    </row>
    <row r="892">
      <c r="C892" s="37"/>
      <c r="H892" s="25"/>
    </row>
    <row r="893">
      <c r="C893" s="37"/>
      <c r="H893" s="25"/>
    </row>
    <row r="894">
      <c r="C894" s="37"/>
      <c r="H894" s="25"/>
    </row>
    <row r="895">
      <c r="C895" s="37"/>
      <c r="H895" s="25"/>
    </row>
    <row r="896">
      <c r="C896" s="37"/>
      <c r="H896" s="25"/>
    </row>
    <row r="897">
      <c r="C897" s="37"/>
      <c r="H897" s="25"/>
    </row>
    <row r="898">
      <c r="C898" s="37"/>
      <c r="H898" s="25"/>
    </row>
    <row r="899">
      <c r="C899" s="37"/>
      <c r="H899" s="25"/>
    </row>
    <row r="900">
      <c r="C900" s="37"/>
      <c r="H900" s="25"/>
    </row>
    <row r="901">
      <c r="C901" s="37"/>
      <c r="H901" s="25"/>
    </row>
    <row r="902">
      <c r="C902" s="37"/>
      <c r="H902" s="25"/>
    </row>
    <row r="903">
      <c r="C903" s="37"/>
      <c r="H903" s="25"/>
    </row>
    <row r="904">
      <c r="C904" s="37"/>
      <c r="H904" s="25"/>
    </row>
    <row r="905">
      <c r="C905" s="37"/>
      <c r="H905" s="25"/>
    </row>
    <row r="906">
      <c r="C906" s="37"/>
      <c r="H906" s="25"/>
    </row>
    <row r="907">
      <c r="C907" s="37"/>
      <c r="H907" s="25"/>
    </row>
    <row r="908">
      <c r="C908" s="37"/>
      <c r="H908" s="25"/>
    </row>
    <row r="909">
      <c r="C909" s="37"/>
      <c r="H909" s="25"/>
    </row>
    <row r="910">
      <c r="C910" s="37"/>
      <c r="H910" s="25"/>
    </row>
    <row r="911">
      <c r="C911" s="37"/>
      <c r="H911" s="25"/>
    </row>
    <row r="912">
      <c r="C912" s="37"/>
      <c r="H912" s="25"/>
    </row>
    <row r="913">
      <c r="C913" s="37"/>
      <c r="H913" s="25"/>
    </row>
    <row r="914">
      <c r="C914" s="37"/>
      <c r="H914" s="25"/>
    </row>
    <row r="915">
      <c r="C915" s="37"/>
      <c r="H915" s="25"/>
    </row>
    <row r="916">
      <c r="C916" s="37"/>
      <c r="H916" s="25"/>
    </row>
    <row r="917">
      <c r="C917" s="37"/>
      <c r="H917" s="25"/>
    </row>
    <row r="918">
      <c r="C918" s="37"/>
      <c r="H918" s="25"/>
    </row>
    <row r="919">
      <c r="C919" s="37"/>
      <c r="H919" s="25"/>
    </row>
    <row r="920">
      <c r="C920" s="37"/>
      <c r="H920" s="25"/>
    </row>
    <row r="921">
      <c r="C921" s="37"/>
      <c r="H921" s="25"/>
    </row>
    <row r="922">
      <c r="C922" s="37"/>
      <c r="H922" s="25"/>
    </row>
    <row r="923">
      <c r="C923" s="37"/>
      <c r="H923" s="25"/>
    </row>
    <row r="924">
      <c r="C924" s="37"/>
      <c r="H924" s="25"/>
    </row>
    <row r="925">
      <c r="C925" s="37"/>
      <c r="H925" s="25"/>
    </row>
    <row r="926">
      <c r="C926" s="37"/>
      <c r="H926" s="25"/>
    </row>
    <row r="927">
      <c r="C927" s="37"/>
      <c r="H927" s="25"/>
    </row>
    <row r="928">
      <c r="C928" s="37"/>
      <c r="H928" s="25"/>
    </row>
    <row r="929">
      <c r="C929" s="37"/>
      <c r="H929" s="25"/>
    </row>
    <row r="930">
      <c r="C930" s="37"/>
      <c r="H930" s="25"/>
    </row>
    <row r="931">
      <c r="C931" s="37"/>
      <c r="H931" s="25"/>
    </row>
    <row r="932">
      <c r="C932" s="37"/>
      <c r="H932" s="25"/>
    </row>
    <row r="933">
      <c r="C933" s="37"/>
      <c r="H933" s="25"/>
    </row>
    <row r="934">
      <c r="C934" s="37"/>
      <c r="H934" s="25"/>
    </row>
    <row r="935">
      <c r="C935" s="37"/>
      <c r="H935" s="25"/>
    </row>
    <row r="936">
      <c r="C936" s="37"/>
      <c r="H936" s="25"/>
    </row>
    <row r="937">
      <c r="C937" s="37"/>
      <c r="H937" s="25"/>
    </row>
    <row r="938">
      <c r="C938" s="37"/>
      <c r="H938" s="25"/>
    </row>
    <row r="939">
      <c r="C939" s="37"/>
      <c r="H939" s="25"/>
    </row>
    <row r="940">
      <c r="C940" s="37"/>
      <c r="H940" s="25"/>
    </row>
    <row r="941">
      <c r="C941" s="37"/>
      <c r="H941" s="25"/>
    </row>
    <row r="942">
      <c r="C942" s="37"/>
      <c r="H942" s="25"/>
    </row>
    <row r="943">
      <c r="C943" s="37"/>
      <c r="H943" s="25"/>
    </row>
    <row r="944">
      <c r="C944" s="37"/>
      <c r="H944" s="25"/>
    </row>
    <row r="945">
      <c r="C945" s="37"/>
      <c r="H945" s="25"/>
    </row>
    <row r="946">
      <c r="C946" s="37"/>
      <c r="H946" s="25"/>
    </row>
    <row r="947">
      <c r="C947" s="37"/>
      <c r="H947" s="25"/>
    </row>
    <row r="948">
      <c r="C948" s="37"/>
      <c r="H948" s="25"/>
    </row>
    <row r="949">
      <c r="C949" s="37"/>
      <c r="H949" s="25"/>
    </row>
    <row r="950">
      <c r="C950" s="37"/>
      <c r="H950" s="25"/>
    </row>
    <row r="951">
      <c r="C951" s="37"/>
      <c r="H951" s="25"/>
    </row>
    <row r="952">
      <c r="C952" s="37"/>
      <c r="H952" s="25"/>
    </row>
    <row r="953">
      <c r="C953" s="37"/>
      <c r="H953" s="25"/>
    </row>
    <row r="954">
      <c r="C954" s="37"/>
      <c r="H954" s="25"/>
    </row>
    <row r="955">
      <c r="C955" s="37"/>
      <c r="H955" s="25"/>
    </row>
    <row r="956">
      <c r="C956" s="37"/>
      <c r="H956" s="25"/>
    </row>
    <row r="957">
      <c r="C957" s="37"/>
      <c r="H957" s="25"/>
    </row>
    <row r="958">
      <c r="C958" s="37"/>
      <c r="H958" s="25"/>
    </row>
    <row r="959">
      <c r="C959" s="37"/>
      <c r="H959" s="25"/>
    </row>
    <row r="960">
      <c r="C960" s="37"/>
      <c r="H960" s="25"/>
    </row>
    <row r="961">
      <c r="C961" s="37"/>
      <c r="H961" s="25"/>
    </row>
    <row r="962">
      <c r="C962" s="37"/>
      <c r="H962" s="25"/>
    </row>
    <row r="963">
      <c r="C963" s="37"/>
      <c r="H963" s="25"/>
    </row>
    <row r="964">
      <c r="C964" s="37"/>
      <c r="H964" s="25"/>
    </row>
    <row r="965">
      <c r="C965" s="37"/>
      <c r="H965" s="25"/>
    </row>
    <row r="966">
      <c r="C966" s="37"/>
      <c r="H966" s="25"/>
    </row>
    <row r="967">
      <c r="C967" s="37"/>
      <c r="H967" s="25"/>
    </row>
    <row r="968">
      <c r="C968" s="37"/>
      <c r="H968" s="25"/>
    </row>
    <row r="969">
      <c r="C969" s="37"/>
      <c r="H969" s="25"/>
    </row>
    <row r="970">
      <c r="C970" s="37"/>
      <c r="H970" s="25"/>
    </row>
    <row r="971">
      <c r="C971" s="37"/>
      <c r="H971" s="25"/>
    </row>
    <row r="972">
      <c r="C972" s="37"/>
      <c r="H972" s="25"/>
    </row>
    <row r="973">
      <c r="C973" s="37"/>
      <c r="H973" s="25"/>
    </row>
    <row r="974">
      <c r="C974" s="37"/>
      <c r="H974" s="25"/>
    </row>
    <row r="975">
      <c r="C975" s="37"/>
      <c r="H975" s="25"/>
    </row>
    <row r="976">
      <c r="C976" s="37"/>
      <c r="H976" s="25"/>
    </row>
    <row r="977">
      <c r="C977" s="37"/>
      <c r="H977" s="25"/>
    </row>
    <row r="978">
      <c r="C978" s="37"/>
      <c r="H978" s="25"/>
    </row>
    <row r="979">
      <c r="C979" s="37"/>
      <c r="H979" s="25"/>
    </row>
    <row r="980">
      <c r="C980" s="37"/>
      <c r="H980" s="25"/>
    </row>
    <row r="981">
      <c r="C981" s="37"/>
      <c r="H981" s="25"/>
    </row>
    <row r="982">
      <c r="C982" s="37"/>
      <c r="H982" s="25"/>
    </row>
    <row r="983">
      <c r="C983" s="37"/>
      <c r="H983" s="25"/>
    </row>
    <row r="984">
      <c r="C984" s="37"/>
      <c r="H984" s="25"/>
    </row>
    <row r="985">
      <c r="C985" s="37"/>
      <c r="H985" s="25"/>
    </row>
    <row r="986">
      <c r="C986" s="37"/>
      <c r="H986" s="25"/>
    </row>
    <row r="987">
      <c r="C987" s="37"/>
      <c r="H987" s="25"/>
    </row>
    <row r="988">
      <c r="C988" s="37"/>
      <c r="H988" s="25"/>
    </row>
    <row r="989">
      <c r="C989" s="37"/>
      <c r="H989" s="25"/>
    </row>
    <row r="990">
      <c r="C990" s="37"/>
      <c r="H990" s="25"/>
    </row>
    <row r="991">
      <c r="C991" s="37"/>
      <c r="H991" s="25"/>
    </row>
    <row r="992">
      <c r="C992" s="37"/>
      <c r="H992" s="25"/>
    </row>
    <row r="993">
      <c r="C993" s="37"/>
      <c r="H993" s="25"/>
    </row>
    <row r="994">
      <c r="C994" s="37"/>
      <c r="H994" s="25"/>
    </row>
    <row r="995">
      <c r="C995" s="37"/>
      <c r="H995" s="25"/>
    </row>
    <row r="996">
      <c r="C996" s="37"/>
      <c r="H996" s="25"/>
    </row>
    <row r="997">
      <c r="C997" s="37"/>
      <c r="H997" s="25"/>
    </row>
    <row r="998">
      <c r="C998" s="37"/>
      <c r="H998" s="25"/>
    </row>
    <row r="999">
      <c r="C999" s="37"/>
      <c r="H999" s="25"/>
    </row>
    <row r="1000">
      <c r="C1000" s="37"/>
      <c r="H1000" s="25"/>
    </row>
    <row r="1001">
      <c r="C1001" s="37"/>
      <c r="H1001" s="25"/>
    </row>
    <row r="1002">
      <c r="C1002" s="37"/>
      <c r="H1002" s="25"/>
    </row>
    <row r="1003">
      <c r="C1003" s="37"/>
      <c r="H1003" s="25"/>
    </row>
    <row r="1004">
      <c r="C1004" s="37"/>
      <c r="H1004" s="25"/>
    </row>
    <row r="1005">
      <c r="C1005" s="37"/>
      <c r="H1005" s="25"/>
    </row>
    <row r="1006">
      <c r="C1006" s="37"/>
      <c r="H1006" s="25"/>
    </row>
    <row r="1007">
      <c r="C1007" s="37"/>
      <c r="H1007" s="25"/>
    </row>
    <row r="1008">
      <c r="C1008" s="37"/>
      <c r="H1008" s="25"/>
    </row>
    <row r="1009">
      <c r="C1009" s="37"/>
      <c r="H1009" s="25"/>
    </row>
    <row r="1010">
      <c r="C1010" s="37"/>
      <c r="H1010" s="25"/>
    </row>
    <row r="1011">
      <c r="C1011" s="37"/>
      <c r="H1011" s="25"/>
    </row>
    <row r="1012">
      <c r="C1012" s="37"/>
      <c r="H1012" s="25"/>
    </row>
    <row r="1013">
      <c r="C1013" s="37"/>
      <c r="H1013" s="25"/>
    </row>
    <row r="1014">
      <c r="C1014" s="37"/>
      <c r="H1014" s="25"/>
    </row>
    <row r="1015">
      <c r="C1015" s="37"/>
      <c r="H1015" s="25"/>
    </row>
    <row r="1016">
      <c r="C1016" s="37"/>
      <c r="H1016" s="25"/>
    </row>
    <row r="1017">
      <c r="C1017" s="37"/>
      <c r="H1017" s="25"/>
    </row>
    <row r="1018">
      <c r="C1018" s="37"/>
      <c r="H1018" s="25"/>
    </row>
    <row r="1019">
      <c r="C1019" s="37"/>
      <c r="H1019" s="25"/>
    </row>
    <row r="1020">
      <c r="C1020" s="37"/>
      <c r="H1020" s="25"/>
    </row>
    <row r="1021">
      <c r="C1021" s="37"/>
      <c r="H1021" s="25"/>
    </row>
    <row r="1022">
      <c r="C1022" s="37"/>
      <c r="H1022" s="25"/>
    </row>
    <row r="1023">
      <c r="C1023" s="37"/>
      <c r="H1023" s="25"/>
    </row>
    <row r="1024">
      <c r="C1024" s="37"/>
      <c r="H1024" s="25"/>
    </row>
    <row r="1025">
      <c r="C1025" s="37"/>
      <c r="H1025" s="25"/>
    </row>
    <row r="1026">
      <c r="C1026" s="37"/>
      <c r="H1026" s="25"/>
    </row>
    <row r="1027">
      <c r="C1027" s="37"/>
      <c r="H1027" s="25"/>
    </row>
    <row r="1028">
      <c r="C1028" s="37"/>
      <c r="H1028" s="25"/>
    </row>
    <row r="1029">
      <c r="C1029" s="37"/>
      <c r="H1029" s="25"/>
    </row>
    <row r="1030">
      <c r="C1030" s="37"/>
      <c r="H1030" s="25"/>
    </row>
    <row r="1031">
      <c r="C1031" s="37"/>
      <c r="H1031" s="25"/>
    </row>
    <row r="1032">
      <c r="C1032" s="37"/>
      <c r="H1032" s="25"/>
    </row>
    <row r="1033">
      <c r="C1033" s="37"/>
      <c r="H1033" s="25"/>
    </row>
    <row r="1034">
      <c r="C1034" s="37"/>
      <c r="H1034" s="25"/>
    </row>
    <row r="1035">
      <c r="C1035" s="37"/>
      <c r="H1035" s="25"/>
    </row>
    <row r="1036">
      <c r="C1036" s="37"/>
      <c r="H1036" s="25"/>
    </row>
    <row r="1037">
      <c r="C1037" s="37"/>
      <c r="H1037" s="25"/>
    </row>
    <row r="1038">
      <c r="C1038" s="37"/>
      <c r="H1038" s="25"/>
    </row>
    <row r="1039">
      <c r="C1039" s="37"/>
      <c r="H1039" s="25"/>
    </row>
    <row r="1040">
      <c r="C1040" s="37"/>
      <c r="H1040" s="25"/>
    </row>
    <row r="1041">
      <c r="C1041" s="37"/>
      <c r="H1041" s="25"/>
    </row>
    <row r="1042">
      <c r="C1042" s="37"/>
      <c r="H1042" s="25"/>
    </row>
    <row r="1043">
      <c r="C1043" s="37"/>
      <c r="H1043" s="25"/>
    </row>
    <row r="1044">
      <c r="C1044" s="37"/>
      <c r="H1044" s="25"/>
    </row>
    <row r="1045">
      <c r="C1045" s="37"/>
      <c r="H1045" s="25"/>
    </row>
  </sheetData>
  <autoFilter ref="$C$1:$C$1045"/>
  <conditionalFormatting sqref="B1:AB71">
    <cfRule type="containsText" dxfId="0" priority="1" operator="containsText" text="Winner">
      <formula>NOT(ISERROR(SEARCH(("Winner"),(B1))))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63"/>
    <col customWidth="1" min="3" max="3" width="17.38"/>
  </cols>
  <sheetData>
    <row r="1">
      <c r="A1" s="2" t="s">
        <v>0</v>
      </c>
      <c r="B1" s="4" t="s">
        <v>3</v>
      </c>
      <c r="C1" s="4" t="s">
        <v>8</v>
      </c>
      <c r="D1" s="4" t="s">
        <v>9</v>
      </c>
    </row>
    <row r="2">
      <c r="A2" s="7" t="s">
        <v>10</v>
      </c>
      <c r="B2" s="13">
        <f>AVERAGEIFS(Data!H:H, Data!C:C, "Winner")</f>
        <v>0.9042869817</v>
      </c>
      <c r="C2" s="13">
        <f>AVERAGEIFS(Data!H:H, Data!C:C, "&lt;&gt;Winner")</f>
        <v>0.8760872328</v>
      </c>
      <c r="D2" s="17">
        <f t="shared" ref="D2:D20" si="1">B2-C2</f>
        <v>0.02819974891</v>
      </c>
      <c r="G2" s="9"/>
    </row>
    <row r="3">
      <c r="A3" s="7" t="s">
        <v>19</v>
      </c>
      <c r="B3" s="18">
        <f>AVERAGEIFS(Data!F:F, Data!C:C, "Winner")</f>
        <v>23.33333333</v>
      </c>
      <c r="C3" s="18">
        <f>AVERAGEIFS(Data!F:F, Data!C:C, "&lt;&gt;Winner")</f>
        <v>22.04347826</v>
      </c>
      <c r="D3" s="19">
        <f t="shared" si="1"/>
        <v>1.289855072</v>
      </c>
    </row>
    <row r="4">
      <c r="A4" s="7" t="s">
        <v>20</v>
      </c>
      <c r="B4" s="18">
        <f>AVERAGEIFS(Data!G:G, Data!C:C, "Winner")</f>
        <v>25.91666667</v>
      </c>
      <c r="C4" s="18">
        <f>AVERAGEIFS(Data!G:G, Data!C:C, "&lt;&gt;Winner")</f>
        <v>25.5</v>
      </c>
      <c r="D4" s="18">
        <f t="shared" si="1"/>
        <v>0.4166666667</v>
      </c>
    </row>
    <row r="5">
      <c r="A5" s="7" t="s">
        <v>21</v>
      </c>
      <c r="B5" s="18">
        <f>AVERAGEIFS(Data!I:I, Data!C:C, "Winner")</f>
        <v>0.5416666667</v>
      </c>
      <c r="C5" s="18">
        <f>AVERAGEIFS(Data!I:I, Data!C:C, "&lt;&gt;Winner")</f>
        <v>0.2826086957</v>
      </c>
      <c r="D5" s="18">
        <f t="shared" si="1"/>
        <v>0.259057971</v>
      </c>
    </row>
    <row r="6">
      <c r="A6" s="7" t="s">
        <v>23</v>
      </c>
      <c r="B6" s="13">
        <f>AVERAGEIFS(Data!K:K, Data!C:C, "Winner")</f>
        <v>0.860515873</v>
      </c>
      <c r="C6" s="13">
        <f>AVERAGEIFS(Data!K:K, Data!C:C, "&lt;&gt;Winner")</f>
        <v>0.8137293993</v>
      </c>
      <c r="D6" s="23">
        <f t="shared" si="1"/>
        <v>0.04678647376</v>
      </c>
    </row>
    <row r="7">
      <c r="A7" s="7" t="s">
        <v>24</v>
      </c>
      <c r="B7" s="18">
        <f>AVERAGEIFS(Data!L:L, Data!C:C, "Winner")</f>
        <v>6.416666667</v>
      </c>
      <c r="C7" s="18">
        <f>AVERAGEIFS(Data!L:L, Data!C:C, "&lt;&gt;Winner")</f>
        <v>6.782608696</v>
      </c>
      <c r="D7" s="18">
        <f t="shared" si="1"/>
        <v>-0.365942029</v>
      </c>
    </row>
    <row r="8">
      <c r="A8" s="7" t="s">
        <v>26</v>
      </c>
      <c r="B8" s="13">
        <f>AVERAGEIFS(Data!N:N, Data!C:C, "Winner")</f>
        <v>0.8496151996</v>
      </c>
      <c r="C8" s="13">
        <f>AVERAGEIFS(Data!N:N, Data!C:C, "&lt;&gt;Winner")</f>
        <v>0.8212037835</v>
      </c>
      <c r="D8" s="17">
        <f t="shared" si="1"/>
        <v>0.02841141611</v>
      </c>
    </row>
    <row r="9">
      <c r="A9" s="7" t="s">
        <v>27</v>
      </c>
      <c r="B9" s="18">
        <f>AVERAGEIFS(Data!O:O, Data!C:C, "Winner")</f>
        <v>7.625</v>
      </c>
      <c r="C9" s="18">
        <f>AVERAGEIFS(Data!O:O, Data!C:C, "&lt;&gt;Winner")</f>
        <v>6.652173913</v>
      </c>
      <c r="D9" s="18">
        <f t="shared" si="1"/>
        <v>0.972826087</v>
      </c>
    </row>
    <row r="10">
      <c r="A10" s="7" t="s">
        <v>29</v>
      </c>
      <c r="B10" s="13">
        <f>AVERAGEIFS(Data!Q:Q, Data!C:C, "Winner")</f>
        <v>0.9326208514</v>
      </c>
      <c r="C10" s="13">
        <f>AVERAGEIFS(Data!Q:Q, Data!C:C, "&lt;&gt;Winner")</f>
        <v>0.9100470821</v>
      </c>
      <c r="D10" s="17">
        <f t="shared" si="1"/>
        <v>0.0225737693</v>
      </c>
    </row>
    <row r="11">
      <c r="A11" s="7" t="s">
        <v>30</v>
      </c>
      <c r="B11" s="18">
        <f>AVERAGEIFS(Data!R:R, Data!C:C, "Winner")</f>
        <v>6.666666667</v>
      </c>
      <c r="C11" s="18">
        <f>AVERAGEIFS(Data!R:R, Data!C:C, "&lt;&gt;Winner")</f>
        <v>6.02173913</v>
      </c>
      <c r="D11" s="18">
        <f t="shared" si="1"/>
        <v>0.6449275362</v>
      </c>
    </row>
    <row r="12">
      <c r="A12" s="7" t="s">
        <v>32</v>
      </c>
      <c r="B12" s="13">
        <f>AVERAGEIFS(Data!T:T, Data!C:C, "Winner")</f>
        <v>0.8496151996</v>
      </c>
      <c r="C12" s="13">
        <f>AVERAGEIFS(Data!T:T, Data!C:C, "&lt;&gt;Winner")</f>
        <v>0.8172305342</v>
      </c>
      <c r="D12" s="17">
        <f t="shared" si="1"/>
        <v>0.03238466537</v>
      </c>
    </row>
    <row r="13">
      <c r="A13" s="7" t="s">
        <v>33</v>
      </c>
      <c r="B13" s="18">
        <f>AVERAGEIFS(Data!U:U, Data!C:C, "Winner")</f>
        <v>2.583333333</v>
      </c>
      <c r="C13" s="18">
        <f>AVERAGEIFS(Data!U:U, Data!C:C, "&lt;&gt;Winner")</f>
        <v>2.239130435</v>
      </c>
      <c r="D13" s="18">
        <f t="shared" si="1"/>
        <v>0.3442028986</v>
      </c>
    </row>
    <row r="14">
      <c r="A14" s="7" t="s">
        <v>35</v>
      </c>
      <c r="B14" s="13">
        <f>AVERAGEIFS(Data!W:W, Data!C:C, "Winner")</f>
        <v>0.745734127</v>
      </c>
      <c r="C14" s="13">
        <f>AVERAGEIFS(Data!W:W, Data!C:C, "&lt;&gt;Winner")</f>
        <v>0.7260162602</v>
      </c>
      <c r="D14" s="17">
        <f t="shared" si="1"/>
        <v>0.01971786682</v>
      </c>
    </row>
    <row r="15">
      <c r="A15" s="7" t="s">
        <v>80</v>
      </c>
      <c r="B15" s="18">
        <f>AVERAGEIFS(Data!X:X, Data!C:C, "Winner")</f>
        <v>53.83333333</v>
      </c>
      <c r="C15" s="18">
        <f>AVERAGEIFS(Data!X:X, Data!C:C, "&lt;&gt;Winner")</f>
        <v>52.69565217</v>
      </c>
      <c r="D15" s="19">
        <f t="shared" si="1"/>
        <v>1.137681159</v>
      </c>
    </row>
    <row r="16">
      <c r="A16" s="7" t="s">
        <v>39</v>
      </c>
      <c r="B16" s="13">
        <f>AVERAGEIFS(Data!AA:AA, Data!C:C, "Winner")</f>
        <v>0.9852065418</v>
      </c>
      <c r="C16" s="13">
        <f>AVERAGEIFS(Data!AA:AA, Data!C:C, "&lt;&gt;Winner")</f>
        <v>0.9874706042</v>
      </c>
      <c r="D16" s="13">
        <f t="shared" si="1"/>
        <v>-0.002264062347</v>
      </c>
    </row>
    <row r="17">
      <c r="A17" s="15" t="s">
        <v>41</v>
      </c>
      <c r="B17" s="18">
        <f>AVERAGEIFS(Data!AC:AC, Data!C:C, "Winner")</f>
        <v>1.8375</v>
      </c>
      <c r="C17" s="18">
        <f>AVERAGEIFS(Data!AC:AC, Data!C:C, "&lt;&gt;Winner")</f>
        <v>1.717391304</v>
      </c>
      <c r="D17" s="18">
        <f t="shared" si="1"/>
        <v>0.1201086957</v>
      </c>
    </row>
    <row r="18">
      <c r="A18" s="15" t="s">
        <v>87</v>
      </c>
      <c r="B18" s="18">
        <f>AVERAGEIFS(Data!AB:AB, Data!C:C, "Winner")</f>
        <v>115</v>
      </c>
      <c r="C18" s="18">
        <f>AVERAGEIFS(Data!AB:AB, Data!C:C, "&lt;&gt;Winner")</f>
        <v>110.2826087</v>
      </c>
      <c r="D18" s="18">
        <f t="shared" si="1"/>
        <v>4.717391304</v>
      </c>
    </row>
    <row r="19">
      <c r="A19" s="7" t="s">
        <v>90</v>
      </c>
      <c r="B19" s="18">
        <f>AVERAGEIFS(Data!AD:AD, Data!C:C, "Winner")</f>
        <v>7.958333333</v>
      </c>
      <c r="C19" s="18">
        <f>AVERAGEIFS(Data!AD:AD, Data!C:C, "&lt;&gt;Winner")</f>
        <v>7.891304348</v>
      </c>
      <c r="D19" s="18">
        <f t="shared" si="1"/>
        <v>0.06702898551</v>
      </c>
    </row>
    <row r="20">
      <c r="A20" s="7" t="s">
        <v>95</v>
      </c>
      <c r="B20" s="26">
        <f>AVERAGEIFS(Data!AM:AM, Data!C:C, "Winner")</f>
        <v>7.625</v>
      </c>
      <c r="C20" s="26">
        <f>AVERAGEIFS(Data!AM:AM, Data!C:C, "&lt;&gt;Winner")</f>
        <v>6.52173913</v>
      </c>
      <c r="D20" s="27">
        <f t="shared" si="1"/>
        <v>1.10326087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</cols>
  <sheetData>
    <row r="1">
      <c r="A1" s="1" t="s">
        <v>0</v>
      </c>
      <c r="B1" s="3" t="s">
        <v>1</v>
      </c>
      <c r="C1" s="3" t="s">
        <v>4</v>
      </c>
      <c r="D1" s="3" t="s">
        <v>5</v>
      </c>
      <c r="E1" s="3" t="s">
        <v>6</v>
      </c>
      <c r="G1" s="6"/>
    </row>
    <row r="2">
      <c r="A2" s="8" t="s">
        <v>10</v>
      </c>
      <c r="B2" s="12">
        <f>MINIFS(Data!H:H, Data!C:C, "Winner")</f>
        <v>0.8181818182</v>
      </c>
      <c r="C2" s="12">
        <f>MAXIFS(Data!H:H, Data!C:C, "Winner")</f>
        <v>1</v>
      </c>
      <c r="D2" s="12">
        <f>AVERAGEIFS(Data!H:H, Data!C:C, "Winner")</f>
        <v>0.9042869817</v>
      </c>
      <c r="E2" s="12">
        <f t="array" ref="E2">MEDIAN(IF(Data!C:C="Winner", Data!H:H))</f>
        <v>0.8998887653</v>
      </c>
    </row>
    <row r="3">
      <c r="A3" s="8" t="s">
        <v>19</v>
      </c>
      <c r="B3" s="20">
        <f>MINIFS(Data!F:F, Data!C:C, "Winner")</f>
        <v>15</v>
      </c>
      <c r="C3" s="20">
        <f>MAXIFS(Data!F:F, Data!C:C, "Winner")</f>
        <v>30</v>
      </c>
      <c r="D3" s="22">
        <f>AVERAGEIFS(Data!F:F, Data!C:C, "Winner")</f>
        <v>23.33333333</v>
      </c>
      <c r="E3" s="20">
        <f t="array" ref="E3">MEDIAN(IF(Data!C:C="Winner", Data!F:F))</f>
        <v>23.5</v>
      </c>
    </row>
    <row r="4">
      <c r="A4" s="8" t="s">
        <v>20</v>
      </c>
      <c r="B4" s="20">
        <f>MINIFS(Data!G:G, Data!C:C, "Winner")</f>
        <v>16</v>
      </c>
      <c r="C4" s="20">
        <f>MAXIFS(Data!G:G, Data!C:C, "Winner")</f>
        <v>34</v>
      </c>
      <c r="D4" s="22">
        <f>AVERAGEIFS(Data!G:G, Data!C:C, "Winner")</f>
        <v>25.91666667</v>
      </c>
      <c r="E4" s="20">
        <f t="array" ref="E4">MEDIAN(IF(Data!C:C="Winner", Data!G:G))</f>
        <v>26.5</v>
      </c>
    </row>
    <row r="5">
      <c r="A5" s="8" t="s">
        <v>21</v>
      </c>
      <c r="B5" s="20">
        <f>MINIFS(Data!I:I, Data!C:C, "Winner")</f>
        <v>0</v>
      </c>
      <c r="C5" s="20">
        <f>MAXIFS(Data!I:I, Data!C:C, "Winner")</f>
        <v>4</v>
      </c>
      <c r="D5" s="22">
        <f>AVERAGEIFS(Data!I:I, Data!C:C, "Winner")</f>
        <v>0.5416666667</v>
      </c>
      <c r="E5" s="20">
        <f t="array" ref="E5">MEDIAN(IF(Data!C:C="Winner", Data!I:I))</f>
        <v>0</v>
      </c>
    </row>
    <row r="6">
      <c r="A6" s="8" t="s">
        <v>23</v>
      </c>
      <c r="B6" s="12">
        <f>MINIFS(Data!K:K, Data!C:C, "Winner")</f>
        <v>0.5714285714</v>
      </c>
      <c r="C6" s="12">
        <f>MAXIFS(Data!K:K, Data!C:C, "Winner")</f>
        <v>1</v>
      </c>
      <c r="D6" s="12">
        <f>AVERAGEIFS(Data!K:K, Data!C:C, "Winner")</f>
        <v>0.860515873</v>
      </c>
      <c r="E6" s="12">
        <f>MAXIFS(Data!K:K, Data!C:C, "Winner")</f>
        <v>1</v>
      </c>
    </row>
    <row r="7">
      <c r="A7" s="8" t="s">
        <v>24</v>
      </c>
      <c r="B7" s="20">
        <f>MINIFS(Data!L:L, Data!C:C, "Winner")</f>
        <v>3</v>
      </c>
      <c r="C7" s="20">
        <f>MAXIFS(Data!L:L, Data!C:C, "Winner")</f>
        <v>10</v>
      </c>
      <c r="D7" s="22">
        <f>AVERAGEIFS(Data!L:L, Data!C:C, "Winner")</f>
        <v>6.416666667</v>
      </c>
      <c r="E7" s="20">
        <f t="array" ref="E7">MEDIAN(IF(Data!C:C="Winner", Data!L:L))</f>
        <v>6</v>
      </c>
    </row>
    <row r="8">
      <c r="A8" s="8" t="s">
        <v>26</v>
      </c>
      <c r="B8" s="12">
        <f>MINIFS(Data!N:N, Data!C:C, "Winner")</f>
        <v>0.4</v>
      </c>
      <c r="C8" s="12">
        <f>MAXIFS(Data!N:N, Data!C:C, "Winner")</f>
        <v>1</v>
      </c>
      <c r="D8" s="12">
        <f>AVERAGEIFS(Data!N:N, Data!C:C, "Winner")</f>
        <v>0.8496151996</v>
      </c>
      <c r="E8" s="12">
        <f>MAXIFS(Data!N:N, Data!C:C, "Winner")</f>
        <v>1</v>
      </c>
    </row>
    <row r="9">
      <c r="A9" s="8" t="s">
        <v>27</v>
      </c>
      <c r="B9" s="20">
        <f>MINIFS(Data!O:O, Data!C:C, "Winner")</f>
        <v>2</v>
      </c>
      <c r="C9" s="20">
        <f>MAXIFS(Data!O:O, Data!C:C, "Winner")</f>
        <v>13</v>
      </c>
      <c r="D9" s="22">
        <f>AVERAGEIFS(Data!O:O, Data!C:C, "Winner")</f>
        <v>7.625</v>
      </c>
      <c r="E9" s="20">
        <f t="array" ref="E9">MEDIAN(IF(Data!C:C="Winner", Data!O:O))</f>
        <v>7.5</v>
      </c>
    </row>
    <row r="10">
      <c r="A10" s="8" t="s">
        <v>29</v>
      </c>
      <c r="B10" s="12">
        <f>MINIFS(Data!Q:Q, Data!C:C, "Winner")</f>
        <v>0.6666666667</v>
      </c>
      <c r="C10" s="12">
        <f>MAXIFS(Data!Q:Q, Data!C:C, "Winner")</f>
        <v>1</v>
      </c>
      <c r="D10" s="12">
        <f>AVERAGEIFS(Data!Q:Q, Data!C:C, "Winner")</f>
        <v>0.9326208514</v>
      </c>
      <c r="E10" s="12">
        <f>MAXIFS(Data!Q:Q, Data!C:C, "Winner")</f>
        <v>1</v>
      </c>
    </row>
    <row r="11">
      <c r="A11" s="8" t="s">
        <v>30</v>
      </c>
      <c r="B11" s="20">
        <f>MINIFS(Data!R:R, Data!C:C, "Winner")</f>
        <v>2</v>
      </c>
      <c r="C11" s="20">
        <f>MAXIFS(Data!R:R, Data!C:C, "Winner")</f>
        <v>12</v>
      </c>
      <c r="D11" s="22">
        <f>AVERAGEIFS(Data!R:R, Data!C:C, "Winner")</f>
        <v>6.666666667</v>
      </c>
      <c r="E11" s="20">
        <f t="array" ref="E11">MEDIAN(IF(Data!C:C="Winner", Data!R:R))</f>
        <v>7</v>
      </c>
    </row>
    <row r="12">
      <c r="A12" s="8" t="s">
        <v>32</v>
      </c>
      <c r="B12" s="12">
        <f>MINIFS(Data!T:T, Data!C:C, "Winner")</f>
        <v>0.4</v>
      </c>
      <c r="C12" s="12">
        <f>MAXIFS(Data!T:T, Data!C:C, "Winner")</f>
        <v>1</v>
      </c>
      <c r="D12" s="12">
        <f>AVERAGEIFS(Data!T:T, Data!C:C, "Winner")</f>
        <v>0.8496151996</v>
      </c>
      <c r="E12" s="12">
        <f>MAXIFS(Data!T:T, Data!C:C, "Winner")</f>
        <v>1</v>
      </c>
    </row>
    <row r="13">
      <c r="A13" s="8" t="s">
        <v>33</v>
      </c>
      <c r="B13" s="20">
        <f>MINIFS(Data!U:U, Data!C:C, "Winner")</f>
        <v>0</v>
      </c>
      <c r="C13" s="20">
        <f>MAXIFS(Data!U:U, Data!C:C, "Winner")</f>
        <v>8</v>
      </c>
      <c r="D13" s="22">
        <f>AVERAGEIFS(Data!U:U, Data!C:C, "Winner")</f>
        <v>2.583333333</v>
      </c>
      <c r="E13" s="20">
        <f t="array" ref="E13">MEDIAN(IF(Data!C:C="Winner", Data!U:U))</f>
        <v>2</v>
      </c>
    </row>
    <row r="14">
      <c r="A14" s="8" t="s">
        <v>35</v>
      </c>
      <c r="B14" s="12">
        <f>MINIFS(Data!W:W, Data!C:C, "Winner")</f>
        <v>0</v>
      </c>
      <c r="C14" s="12">
        <f>MAXIFS(Data!W:W, Data!C:C, "Winner")</f>
        <v>1</v>
      </c>
      <c r="D14" s="12">
        <f>AVERAGEIFS(Data!W:W, Data!C:C, "Winner")</f>
        <v>0.745734127</v>
      </c>
      <c r="E14" s="12">
        <f>MAXIFS(Data!W:W, Data!C:C, "Winner")</f>
        <v>1</v>
      </c>
    </row>
    <row r="15">
      <c r="A15" s="8" t="s">
        <v>80</v>
      </c>
      <c r="B15" s="20">
        <f>MINIFS(Data!X:X, Data!C:C, "Winner")</f>
        <v>47</v>
      </c>
      <c r="C15" s="20">
        <f>MAXIFS(Data!X:X, Data!C:C, "Winner")</f>
        <v>61</v>
      </c>
      <c r="D15" s="22">
        <f>AVERAGEIFS(Data!X:X, Data!C:C, "Winner")</f>
        <v>53.83333333</v>
      </c>
      <c r="E15" s="20">
        <f t="array" ref="E15">MEDIAN(IF(Data!C:C="Winner", Data!X:X))</f>
        <v>53</v>
      </c>
    </row>
    <row r="16">
      <c r="A16" s="8" t="s">
        <v>39</v>
      </c>
      <c r="B16" s="12">
        <f>MINIFS(Data!AA:AA, Data!C:C, "Winner")</f>
        <v>0.9454545455</v>
      </c>
      <c r="C16" s="12">
        <f>MAXIFS(Data!AA:AA, Data!C:C, "Winner")</f>
        <v>1</v>
      </c>
      <c r="D16" s="12">
        <f>AVERAGEIFS(Data!AA:AA, Data!C:C, "Winner")</f>
        <v>0.9852065418</v>
      </c>
      <c r="E16" s="12">
        <f t="array" ref="E16">MEDIAN(IF(Data!C:C="Winner", Data!AA:AA))</f>
        <v>1</v>
      </c>
    </row>
    <row r="17">
      <c r="A17" s="9" t="s">
        <v>41</v>
      </c>
      <c r="B17" s="20">
        <f>MINIFS(Data!AC:AC, Data!C:C, "Winner")</f>
        <v>1.3</v>
      </c>
      <c r="C17" s="20">
        <f>MAXIFS(Data!AC:AC, Data!C:C, "Winner")</f>
        <v>2.3</v>
      </c>
      <c r="D17" s="22">
        <f>AVERAGEIFS(Data!AC:AC, Data!C:C, "Winner")</f>
        <v>1.8375</v>
      </c>
      <c r="E17" s="30">
        <f t="array" ref="E17">MEDIAN(IF(Data!C:C="Winner", Data!AC:AC))</f>
        <v>1.8</v>
      </c>
    </row>
    <row r="18">
      <c r="A18" s="9" t="s">
        <v>87</v>
      </c>
      <c r="B18" s="20">
        <f>MINIFS(Data!AB:AB, Data!C:C, "Winner")</f>
        <v>79</v>
      </c>
      <c r="C18" s="20">
        <f>MAXIFS(Data!AB:AB, Data!C:C, "Winner")</f>
        <v>157</v>
      </c>
      <c r="D18" s="30">
        <f>AVERAGEIFS(Data!AB:AB, Data!C:C, "Winner")</f>
        <v>115</v>
      </c>
      <c r="E18" s="30">
        <f t="array" ref="E18">MEDIAN(IF(Data!C:C="Winner", Data!AB:AB))</f>
        <v>111</v>
      </c>
    </row>
    <row r="19">
      <c r="A19" s="9" t="s">
        <v>90</v>
      </c>
      <c r="B19" s="30">
        <f>MINIFS(Data!AD:AD, Data!C:C, "Winner")</f>
        <v>2</v>
      </c>
      <c r="C19" s="30">
        <f>MAXIFS(Data!AD:AD, Data!C:C, "Winner")</f>
        <v>12</v>
      </c>
      <c r="D19" s="22">
        <f>AVERAGEIFS(Data!AD:AD, Data!C:C, "Winner")</f>
        <v>7.958333333</v>
      </c>
      <c r="E19" s="30">
        <f t="array" ref="E19">MEDIAN(IF(Data!C:C="Winner", Data!AD:AD))</f>
        <v>8</v>
      </c>
    </row>
    <row r="21">
      <c r="A21" s="3"/>
      <c r="B21" s="3"/>
      <c r="C21" s="3"/>
    </row>
    <row r="22">
      <c r="A22" s="3" t="s">
        <v>2</v>
      </c>
      <c r="B22" s="3" t="s">
        <v>12</v>
      </c>
      <c r="C22" s="3" t="s">
        <v>14</v>
      </c>
    </row>
    <row r="23">
      <c r="A23" s="9" t="s">
        <v>139</v>
      </c>
      <c r="B23" s="30">
        <f>COUNTIFS(Data!C:C, "Winner", Data!E:E, "Fr.")</f>
        <v>3</v>
      </c>
      <c r="C23" s="30">
        <f>COUNTIFS(Data!C:C, "&lt;&gt;Winner", Data!E:E, "Fr.")</f>
        <v>1</v>
      </c>
    </row>
    <row r="24">
      <c r="A24" s="9" t="s">
        <v>109</v>
      </c>
      <c r="B24" s="30">
        <f>COUNTIFS(Data!C:C, "Winner", Data!E:E, "So.")</f>
        <v>2</v>
      </c>
      <c r="C24" s="30">
        <f>COUNTIFS(Data!C:C, "&lt;&gt;Winner", Data!E:E, "So.")</f>
        <v>10</v>
      </c>
    </row>
    <row r="25">
      <c r="A25" s="9" t="s">
        <v>68</v>
      </c>
      <c r="B25" s="30">
        <f>COUNTIFS(Data!C:C, "Winner", Data!E:E, "Jr.")</f>
        <v>8</v>
      </c>
      <c r="C25" s="30">
        <f>COUNTIFS(Data!C:C, "&lt;&gt;Winner", Data!E:E, "Jr.")</f>
        <v>16</v>
      </c>
    </row>
    <row r="26">
      <c r="A26" s="9" t="s">
        <v>55</v>
      </c>
      <c r="B26" s="30">
        <f>COUNTIFS(Data!C:C, "Winner", Data!E:E, "Sr.")</f>
        <v>11</v>
      </c>
      <c r="C26" s="30">
        <f>COUNTIFS(Data!C:C, "&lt;&gt;Winner", Data!E:E, "Sr.")</f>
        <v>19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7</v>
      </c>
      <c r="B1" s="3" t="s">
        <v>12</v>
      </c>
      <c r="C1" s="3" t="s">
        <v>14</v>
      </c>
      <c r="D1" s="3" t="s">
        <v>16</v>
      </c>
    </row>
    <row r="2">
      <c r="A2" s="9" t="s">
        <v>17</v>
      </c>
      <c r="B2">
        <f>COUNTIFS(Data!C:C, "Winner", Data!AE:AE, "ACC")</f>
        <v>5</v>
      </c>
      <c r="C2">
        <f>COUNTIFS(Data!C:C, "&lt;&gt;Winner", Data!AE:AE, "ACC")</f>
        <v>6</v>
      </c>
      <c r="D2">
        <f t="shared" ref="D2:D14" si="1">B2+C2</f>
        <v>11</v>
      </c>
    </row>
    <row r="3">
      <c r="A3" s="9" t="s">
        <v>51</v>
      </c>
      <c r="B3">
        <f>COUNTIFS(Data!C:C, "Winner", Data!AE:AE, "American")</f>
        <v>0</v>
      </c>
      <c r="C3">
        <f>COUNTIFS(Data!C:C, "&lt;&gt;Winner", Data!AE:AE, "American")</f>
        <v>2</v>
      </c>
      <c r="D3">
        <f t="shared" si="1"/>
        <v>2</v>
      </c>
    </row>
    <row r="4">
      <c r="A4" s="9" t="s">
        <v>56</v>
      </c>
      <c r="B4">
        <f>COUNTIFS(Data!C:C, "Winner", Data!AE:AE, "Big 12")</f>
        <v>2</v>
      </c>
      <c r="C4">
        <f>COUNTIFS(Data!C:C, "&lt;&gt;Winner", Data!AE:AE, "Big 12")</f>
        <v>5</v>
      </c>
      <c r="D4">
        <f t="shared" si="1"/>
        <v>7</v>
      </c>
    </row>
    <row r="5">
      <c r="A5" s="9" t="s">
        <v>57</v>
      </c>
      <c r="B5">
        <f>COUNTIFS(Data!C:C, "Winner", Data!AE:AE, "Big East")</f>
        <v>1</v>
      </c>
      <c r="C5">
        <f>COUNTIFS(Data!C:C, "&lt;&gt;Winner", Data!AE:AE, "Big East")</f>
        <v>0</v>
      </c>
      <c r="D5">
        <f t="shared" si="1"/>
        <v>1</v>
      </c>
    </row>
    <row r="6">
      <c r="A6" s="9" t="s">
        <v>58</v>
      </c>
      <c r="B6">
        <f>COUNTIFS(Data!C:C, "Winner", Data!AE:AE, "Big Ten")</f>
        <v>3</v>
      </c>
      <c r="C6">
        <f>COUNTIFS(Data!C:C, "&lt;&gt;Winner", Data!AE:AE, "Big Ten")</f>
        <v>4</v>
      </c>
      <c r="D6">
        <f t="shared" si="1"/>
        <v>7</v>
      </c>
    </row>
    <row r="7">
      <c r="A7" s="9" t="s">
        <v>62</v>
      </c>
      <c r="B7">
        <f>COUNTIFS(Data!C:C, "Winner", Data!AE:AE, "CUSA")</f>
        <v>2</v>
      </c>
      <c r="C7">
        <f>COUNTIFS(Data!C:C, "&lt;&gt;Winner", Data!AE:AE, "CUSA")</f>
        <v>2</v>
      </c>
      <c r="D7">
        <f t="shared" si="1"/>
        <v>4</v>
      </c>
    </row>
    <row r="8">
      <c r="A8" s="9" t="s">
        <v>63</v>
      </c>
      <c r="B8">
        <f>COUNTIFS(Data!C:C, "Winner", Data!AE:AE, "Indy")</f>
        <v>0</v>
      </c>
      <c r="C8">
        <f>COUNTIFS(Data!C:C, "&lt;&gt;Winner", Data!AE:AE, "Indy")</f>
        <v>2</v>
      </c>
      <c r="D8">
        <f t="shared" si="1"/>
        <v>2</v>
      </c>
    </row>
    <row r="9">
      <c r="A9" s="9" t="s">
        <v>64</v>
      </c>
      <c r="B9">
        <f>COUNTIFS(Data!C:C, "Winner", Data!AE:AE, "MAC")</f>
        <v>1</v>
      </c>
      <c r="C9">
        <f>COUNTIFS(Data!C:C, "&lt;&gt;Winner", Data!AE:AE, "MAC")</f>
        <v>1</v>
      </c>
      <c r="D9">
        <f t="shared" si="1"/>
        <v>2</v>
      </c>
    </row>
    <row r="10">
      <c r="A10" s="9" t="s">
        <v>59</v>
      </c>
      <c r="B10">
        <f>COUNTIFS(Data!C:C, "Winner", Data!AE:AE, "MWC")</f>
        <v>0</v>
      </c>
      <c r="C10">
        <f>COUNTIFS(Data!C:C, "&lt;&gt;Winner", Data!AE:AE, "MWC")</f>
        <v>6</v>
      </c>
      <c r="D10">
        <f t="shared" si="1"/>
        <v>6</v>
      </c>
    </row>
    <row r="11">
      <c r="A11" s="9" t="s">
        <v>69</v>
      </c>
      <c r="B11">
        <f>COUNTIFS(Data!C:C, "Winner", Data!AE:AE, "Pac-12")</f>
        <v>6</v>
      </c>
      <c r="C11">
        <f>COUNTIFS(Data!C:C, "&lt;&gt;Winner", Data!AE:AE, "Pac-12")</f>
        <v>3</v>
      </c>
      <c r="D11">
        <f t="shared" si="1"/>
        <v>9</v>
      </c>
    </row>
    <row r="12">
      <c r="A12" s="9" t="s">
        <v>70</v>
      </c>
      <c r="B12">
        <f>COUNTIFS(Data!C:C, "Winner", Data!AE:AE, "SEC")</f>
        <v>3</v>
      </c>
      <c r="C12">
        <f>COUNTIFS(Data!C:C, "&lt;&gt;Winner", Data!AE:AE, "SEC")</f>
        <v>12</v>
      </c>
      <c r="D12">
        <f t="shared" si="1"/>
        <v>15</v>
      </c>
    </row>
    <row r="13">
      <c r="A13" s="9" t="s">
        <v>74</v>
      </c>
      <c r="B13">
        <f>COUNTIFS(Data!C:C, "Winner", Data!AE:AE, "Sun Belt")</f>
        <v>1</v>
      </c>
      <c r="C13">
        <f>COUNTIFS(Data!C:C, "&lt;&gt;Winner", Data!AE:AE, "Sun Belt")</f>
        <v>2</v>
      </c>
      <c r="D13">
        <f t="shared" si="1"/>
        <v>3</v>
      </c>
    </row>
    <row r="14">
      <c r="A14" s="9" t="s">
        <v>77</v>
      </c>
      <c r="B14">
        <f>COUNTIFS(Data!C:C, "Winner", Data!AE:AE, "WAC")</f>
        <v>0</v>
      </c>
      <c r="C14">
        <f>COUNTIFS(Data!C:C, "&lt;&gt;Winner", Data!AE:AE, "WAC")</f>
        <v>1</v>
      </c>
      <c r="D14">
        <f t="shared" si="1"/>
        <v>1</v>
      </c>
    </row>
    <row r="15">
      <c r="A15" s="6" t="s">
        <v>43</v>
      </c>
    </row>
    <row r="16">
      <c r="A16" s="9" t="s">
        <v>71</v>
      </c>
      <c r="B16" s="9">
        <f>COUNTIFS(Data!C:C, "Winner", Data!AF:AF, "P5")</f>
        <v>20</v>
      </c>
      <c r="C16">
        <f>COUNTIFS(Data!C:C, "&lt;&gt;Winner", Data!AF:AF, "P5")</f>
        <v>32</v>
      </c>
      <c r="D16">
        <f t="shared" ref="D16:D17" si="2">B16+C16</f>
        <v>52</v>
      </c>
    </row>
    <row r="17">
      <c r="A17" s="9" t="s">
        <v>60</v>
      </c>
      <c r="B17">
        <f>COUNTIFS(Data!C:C, "Winner", Data!AF:AF, "G6")</f>
        <v>4</v>
      </c>
      <c r="C17">
        <f>COUNTIFS(Data!C:C, "&lt;&gt;Winner", Data!AF:AF, "G6")</f>
        <v>14</v>
      </c>
      <c r="D17">
        <f t="shared" si="2"/>
        <v>18</v>
      </c>
    </row>
    <row r="19">
      <c r="A19" s="6" t="s">
        <v>83</v>
      </c>
      <c r="B19" s="6" t="s">
        <v>84</v>
      </c>
    </row>
    <row r="20">
      <c r="A20" s="9" t="s">
        <v>66</v>
      </c>
      <c r="B20" s="25">
        <f>AVERAGEIFS(Data!AD:AD, Data!C:C, "Winner")</f>
        <v>7.958333333</v>
      </c>
    </row>
    <row r="21">
      <c r="A21" s="9" t="s">
        <v>14</v>
      </c>
      <c r="B21" s="25">
        <f>AVERAGEIFS(Data!AD:AD, Data!C:C, "&lt;&gt;Winner")</f>
        <v>7.891304348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98</v>
      </c>
    </row>
    <row r="2">
      <c r="A2" s="28" t="s">
        <v>103</v>
      </c>
    </row>
    <row r="3">
      <c r="A3" s="28" t="s">
        <v>104</v>
      </c>
    </row>
    <row r="4">
      <c r="A4" s="28" t="s">
        <v>105</v>
      </c>
    </row>
    <row r="5">
      <c r="A5" s="28" t="s">
        <v>106</v>
      </c>
    </row>
    <row r="6">
      <c r="A6" s="29" t="s">
        <v>108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</hyperlinks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5">
        <v>2000.0</v>
      </c>
      <c r="B2" s="15" t="s">
        <v>53</v>
      </c>
      <c r="C2" s="15" t="s">
        <v>111</v>
      </c>
      <c r="D2" s="15" t="s">
        <v>113</v>
      </c>
      <c r="E2" s="16"/>
      <c r="F2" s="16"/>
      <c r="G2" s="13"/>
      <c r="H2" s="16"/>
      <c r="I2" s="16"/>
      <c r="J2" s="16"/>
      <c r="K2" s="16"/>
      <c r="L2" s="16"/>
      <c r="M2" s="16"/>
      <c r="N2" s="21"/>
      <c r="O2" s="16"/>
      <c r="P2" s="16"/>
      <c r="Q2" s="21" t="str">
        <f t="shared" ref="Q2:Q19" si="1">DIVIDE(O2,P2)</f>
        <v>#DIV/0!</v>
      </c>
      <c r="R2" s="16"/>
      <c r="S2" s="16"/>
      <c r="T2" s="21" t="str">
        <f t="shared" ref="T2:T19" si="2">DIVIDE(R2,S2)</f>
        <v>#DIV/0!</v>
      </c>
      <c r="U2" s="16"/>
      <c r="V2" s="16"/>
      <c r="W2" s="16"/>
      <c r="X2" s="13"/>
      <c r="Y2" s="16"/>
      <c r="Z2" s="16"/>
      <c r="AA2" s="13"/>
      <c r="AB2" s="13"/>
      <c r="AC2" s="16" t="s">
        <v>116</v>
      </c>
    </row>
    <row r="3">
      <c r="A3" s="15">
        <v>2000.0</v>
      </c>
      <c r="B3" s="15" t="s">
        <v>53</v>
      </c>
      <c r="C3" s="15" t="s">
        <v>117</v>
      </c>
      <c r="D3" s="15" t="s">
        <v>118</v>
      </c>
      <c r="E3" s="16"/>
      <c r="F3" s="16"/>
      <c r="G3" s="13"/>
      <c r="H3" s="16"/>
      <c r="I3" s="16"/>
      <c r="J3" s="16"/>
      <c r="K3" s="16"/>
      <c r="L3" s="16"/>
      <c r="M3" s="16"/>
      <c r="N3" s="21"/>
      <c r="O3" s="16"/>
      <c r="P3" s="16"/>
      <c r="Q3" s="21" t="str">
        <f t="shared" si="1"/>
        <v>#DIV/0!</v>
      </c>
      <c r="R3" s="16"/>
      <c r="S3" s="16"/>
      <c r="T3" s="21" t="str">
        <f t="shared" si="2"/>
        <v>#DIV/0!</v>
      </c>
      <c r="U3" s="16"/>
      <c r="V3" s="16"/>
      <c r="W3" s="16"/>
      <c r="X3" s="13"/>
      <c r="Y3" s="16"/>
      <c r="Z3" s="16"/>
      <c r="AA3" s="13"/>
      <c r="AB3" s="13"/>
      <c r="AC3" s="16" t="s">
        <v>116</v>
      </c>
    </row>
    <row r="4">
      <c r="A4" s="15">
        <v>2001.0</v>
      </c>
      <c r="B4" s="15" t="s">
        <v>53</v>
      </c>
      <c r="C4" s="15" t="s">
        <v>119</v>
      </c>
      <c r="D4" s="15" t="s">
        <v>120</v>
      </c>
      <c r="E4" s="16"/>
      <c r="F4" s="16"/>
      <c r="G4" s="13"/>
      <c r="H4" s="16"/>
      <c r="I4" s="16"/>
      <c r="J4" s="16"/>
      <c r="K4" s="16"/>
      <c r="L4" s="16"/>
      <c r="M4" s="16"/>
      <c r="N4" s="21"/>
      <c r="O4" s="16"/>
      <c r="P4" s="16"/>
      <c r="Q4" s="21" t="str">
        <f t="shared" si="1"/>
        <v>#DIV/0!</v>
      </c>
      <c r="R4" s="16"/>
      <c r="S4" s="16"/>
      <c r="T4" s="21" t="str">
        <f t="shared" si="2"/>
        <v>#DIV/0!</v>
      </c>
      <c r="U4" s="16"/>
      <c r="V4" s="16"/>
      <c r="W4" s="16"/>
      <c r="X4" s="13"/>
      <c r="Y4" s="16"/>
      <c r="Z4" s="16"/>
      <c r="AA4" s="13"/>
      <c r="AB4" s="13"/>
      <c r="AC4" s="16" t="s">
        <v>116</v>
      </c>
    </row>
    <row r="5">
      <c r="A5" s="15">
        <v>2001.0</v>
      </c>
      <c r="B5" s="15" t="s">
        <v>53</v>
      </c>
      <c r="C5" s="15" t="s">
        <v>121</v>
      </c>
      <c r="D5" s="9" t="s">
        <v>122</v>
      </c>
      <c r="E5" s="16"/>
      <c r="F5" s="16"/>
      <c r="G5" s="13"/>
      <c r="H5" s="16"/>
      <c r="I5" s="16"/>
      <c r="J5" s="16"/>
      <c r="K5" s="16"/>
      <c r="L5" s="16"/>
      <c r="M5" s="16"/>
      <c r="N5" s="21"/>
      <c r="O5" s="16"/>
      <c r="P5" s="16"/>
      <c r="Q5" s="21" t="str">
        <f t="shared" si="1"/>
        <v>#DIV/0!</v>
      </c>
      <c r="R5" s="16"/>
      <c r="S5" s="16"/>
      <c r="T5" s="21" t="str">
        <f t="shared" si="2"/>
        <v>#DIV/0!</v>
      </c>
      <c r="U5" s="16"/>
      <c r="V5" s="16"/>
      <c r="W5" s="16"/>
      <c r="X5" s="13"/>
      <c r="Y5" s="16"/>
      <c r="Z5" s="16"/>
      <c r="AA5" s="13"/>
      <c r="AB5" s="13"/>
      <c r="AC5" s="16" t="s">
        <v>116</v>
      </c>
    </row>
    <row r="6">
      <c r="A6" s="15">
        <v>2002.0</v>
      </c>
      <c r="B6" s="15" t="s">
        <v>53</v>
      </c>
      <c r="C6" s="15" t="s">
        <v>125</v>
      </c>
      <c r="D6" s="15" t="s">
        <v>101</v>
      </c>
      <c r="E6" s="16"/>
      <c r="F6" s="16"/>
      <c r="G6" s="13" t="str">
        <f t="shared" ref="G6:G7" si="3">E6/F6</f>
        <v>#DIV/0!</v>
      </c>
      <c r="H6" s="16"/>
      <c r="I6" s="16"/>
      <c r="J6" s="16"/>
      <c r="K6" s="16"/>
      <c r="L6" s="16"/>
      <c r="M6" s="16"/>
      <c r="N6" s="21"/>
      <c r="O6" s="16"/>
      <c r="P6" s="16"/>
      <c r="Q6" s="21" t="str">
        <f t="shared" si="1"/>
        <v>#DIV/0!</v>
      </c>
      <c r="R6" s="16"/>
      <c r="S6" s="16"/>
      <c r="T6" s="21" t="str">
        <f t="shared" si="2"/>
        <v>#DIV/0!</v>
      </c>
      <c r="U6" s="16"/>
      <c r="V6" s="16"/>
      <c r="W6" s="16"/>
      <c r="X6" s="13"/>
      <c r="Y6" s="16"/>
      <c r="Z6" s="16"/>
      <c r="AA6" s="13"/>
      <c r="AB6" s="13"/>
      <c r="AC6" s="16" t="s">
        <v>116</v>
      </c>
    </row>
    <row r="7">
      <c r="A7" s="15">
        <v>2002.0</v>
      </c>
      <c r="B7" s="15" t="s">
        <v>53</v>
      </c>
      <c r="C7" s="15" t="s">
        <v>126</v>
      </c>
      <c r="D7" s="15" t="s">
        <v>127</v>
      </c>
      <c r="E7" s="16"/>
      <c r="F7" s="16"/>
      <c r="G7" s="13" t="str">
        <f t="shared" si="3"/>
        <v>#DIV/0!</v>
      </c>
      <c r="H7" s="16"/>
      <c r="I7" s="16"/>
      <c r="J7" s="16"/>
      <c r="K7" s="16"/>
      <c r="L7" s="16"/>
      <c r="M7" s="16"/>
      <c r="N7" s="21"/>
      <c r="O7" s="16"/>
      <c r="P7" s="16"/>
      <c r="Q7" s="21" t="str">
        <f t="shared" si="1"/>
        <v>#DIV/0!</v>
      </c>
      <c r="R7" s="16"/>
      <c r="S7" s="16"/>
      <c r="T7" s="21" t="str">
        <f t="shared" si="2"/>
        <v>#DIV/0!</v>
      </c>
      <c r="U7" s="16"/>
      <c r="V7" s="16"/>
      <c r="W7" s="16"/>
      <c r="X7" s="13"/>
      <c r="Y7" s="16"/>
      <c r="Z7" s="16"/>
      <c r="AA7" s="13"/>
      <c r="AB7" s="13"/>
      <c r="AC7" s="16" t="s">
        <v>116</v>
      </c>
    </row>
    <row r="8">
      <c r="A8" s="15">
        <v>2003.0</v>
      </c>
      <c r="B8" s="15" t="s">
        <v>53</v>
      </c>
      <c r="C8" s="15" t="s">
        <v>130</v>
      </c>
      <c r="D8" s="15" t="s">
        <v>123</v>
      </c>
      <c r="E8" s="16"/>
      <c r="F8" s="16"/>
      <c r="G8" s="13"/>
      <c r="H8" s="16"/>
      <c r="I8" s="16"/>
      <c r="J8" s="16"/>
      <c r="K8" s="16"/>
      <c r="L8" s="16"/>
      <c r="M8" s="16"/>
      <c r="N8" s="21"/>
      <c r="O8" s="16"/>
      <c r="P8" s="16"/>
      <c r="Q8" s="21" t="str">
        <f t="shared" si="1"/>
        <v>#DIV/0!</v>
      </c>
      <c r="R8" s="16"/>
      <c r="S8" s="16"/>
      <c r="T8" s="21" t="str">
        <f t="shared" si="2"/>
        <v>#DIV/0!</v>
      </c>
      <c r="U8" s="31"/>
      <c r="V8" s="31"/>
      <c r="W8" s="31"/>
      <c r="X8" s="32"/>
      <c r="Y8" s="31"/>
      <c r="Z8" s="16"/>
      <c r="AA8" s="13"/>
      <c r="AB8" s="13"/>
      <c r="AC8" s="16" t="s">
        <v>116</v>
      </c>
    </row>
    <row r="9">
      <c r="A9" s="15">
        <v>2003.0</v>
      </c>
      <c r="B9" s="15" t="s">
        <v>53</v>
      </c>
      <c r="C9" s="15" t="s">
        <v>141</v>
      </c>
      <c r="D9" s="15" t="s">
        <v>65</v>
      </c>
      <c r="E9" s="16"/>
      <c r="F9" s="16"/>
      <c r="G9" s="13"/>
      <c r="H9" s="16"/>
      <c r="I9" s="16"/>
      <c r="J9" s="16"/>
      <c r="K9" s="16"/>
      <c r="L9" s="16"/>
      <c r="M9" s="16"/>
      <c r="N9" s="21"/>
      <c r="O9" s="16"/>
      <c r="P9" s="16"/>
      <c r="Q9" s="21" t="str">
        <f t="shared" si="1"/>
        <v>#DIV/0!</v>
      </c>
      <c r="R9" s="16"/>
      <c r="S9" s="16"/>
      <c r="T9" s="21" t="str">
        <f t="shared" si="2"/>
        <v>#DIV/0!</v>
      </c>
      <c r="U9" s="31"/>
      <c r="V9" s="31"/>
      <c r="W9" s="31"/>
      <c r="X9" s="32"/>
      <c r="Y9" s="31"/>
      <c r="Z9" s="16"/>
      <c r="AA9" s="13"/>
      <c r="AB9" s="13"/>
      <c r="AC9" s="16" t="s">
        <v>116</v>
      </c>
    </row>
    <row r="10">
      <c r="A10" s="15">
        <v>2003.0</v>
      </c>
      <c r="B10" s="15" t="s">
        <v>144</v>
      </c>
      <c r="C10" s="15" t="s">
        <v>145</v>
      </c>
      <c r="D10" s="15" t="s">
        <v>146</v>
      </c>
      <c r="E10" s="16"/>
      <c r="F10" s="16"/>
      <c r="G10" s="13"/>
      <c r="H10" s="16"/>
      <c r="I10" s="16"/>
      <c r="J10" s="16"/>
      <c r="K10" s="16"/>
      <c r="L10" s="16"/>
      <c r="M10" s="16"/>
      <c r="N10" s="21"/>
      <c r="O10" s="16"/>
      <c r="P10" s="16"/>
      <c r="Q10" s="21" t="str">
        <f t="shared" si="1"/>
        <v>#DIV/0!</v>
      </c>
      <c r="R10" s="16"/>
      <c r="S10" s="16"/>
      <c r="T10" s="21" t="str">
        <f t="shared" si="2"/>
        <v>#DIV/0!</v>
      </c>
      <c r="U10" s="31"/>
      <c r="V10" s="31"/>
      <c r="W10" s="31"/>
      <c r="X10" s="32"/>
      <c r="Y10" s="31"/>
      <c r="Z10" s="16"/>
      <c r="AA10" s="13"/>
      <c r="AB10" s="13"/>
      <c r="AC10" s="16" t="s">
        <v>116</v>
      </c>
    </row>
    <row r="11">
      <c r="A11" s="15">
        <v>2000.0</v>
      </c>
      <c r="B11" s="15" t="s">
        <v>66</v>
      </c>
      <c r="C11" s="15" t="s">
        <v>147</v>
      </c>
      <c r="D11" s="15" t="s">
        <v>148</v>
      </c>
      <c r="E11" s="16">
        <v>26.0</v>
      </c>
      <c r="F11" s="16">
        <v>29.0</v>
      </c>
      <c r="G11" s="13">
        <f t="shared" ref="G11:G21" si="4">E11/F11</f>
        <v>0.8965517241</v>
      </c>
      <c r="H11" s="16"/>
      <c r="I11" s="16"/>
      <c r="J11" s="16"/>
      <c r="K11" s="16"/>
      <c r="L11" s="16"/>
      <c r="M11" s="16"/>
      <c r="N11" s="21"/>
      <c r="O11" s="16"/>
      <c r="P11" s="16"/>
      <c r="Q11" s="21" t="str">
        <f t="shared" si="1"/>
        <v>#DIV/0!</v>
      </c>
      <c r="R11" s="16"/>
      <c r="S11" s="16"/>
      <c r="T11" s="21" t="str">
        <f t="shared" si="2"/>
        <v>#DIV/0!</v>
      </c>
      <c r="U11" s="16"/>
      <c r="V11" s="16">
        <v>26.0</v>
      </c>
      <c r="W11" s="16">
        <v>27.0</v>
      </c>
      <c r="X11" s="13">
        <f t="shared" ref="X11:X21" si="5">V11/W11</f>
        <v>0.962962963</v>
      </c>
      <c r="Y11" s="16">
        <v>104.0</v>
      </c>
      <c r="Z11" s="16"/>
      <c r="AA11" s="13"/>
      <c r="AB11" s="13"/>
      <c r="AC11" s="16" t="s">
        <v>151</v>
      </c>
    </row>
    <row r="12">
      <c r="A12" s="15">
        <v>1999.0</v>
      </c>
      <c r="B12" s="15" t="s">
        <v>66</v>
      </c>
      <c r="C12" s="15" t="s">
        <v>152</v>
      </c>
      <c r="D12" s="15" t="s">
        <v>153</v>
      </c>
      <c r="E12" s="16">
        <v>23.0</v>
      </c>
      <c r="F12" s="16">
        <v>30.0</v>
      </c>
      <c r="G12" s="13">
        <f t="shared" si="4"/>
        <v>0.7666666667</v>
      </c>
      <c r="H12" s="16"/>
      <c r="I12" s="16"/>
      <c r="J12" s="16"/>
      <c r="K12" s="16"/>
      <c r="L12" s="16"/>
      <c r="M12" s="16"/>
      <c r="N12" s="21"/>
      <c r="O12" s="16"/>
      <c r="P12" s="16"/>
      <c r="Q12" s="21" t="str">
        <f t="shared" si="1"/>
        <v>#DIV/0!</v>
      </c>
      <c r="R12" s="16"/>
      <c r="S12" s="16"/>
      <c r="T12" s="21" t="str">
        <f t="shared" si="2"/>
        <v>#DIV/0!</v>
      </c>
      <c r="U12" s="16"/>
      <c r="V12" s="16">
        <v>47.0</v>
      </c>
      <c r="W12" s="16">
        <v>47.0</v>
      </c>
      <c r="X12" s="13">
        <f t="shared" si="5"/>
        <v>1</v>
      </c>
      <c r="Y12" s="16"/>
      <c r="Z12" s="16"/>
      <c r="AA12" s="13"/>
      <c r="AB12" s="13"/>
      <c r="AC12" s="16" t="s">
        <v>151</v>
      </c>
    </row>
    <row r="13">
      <c r="A13" s="15">
        <v>1998.0</v>
      </c>
      <c r="B13" s="15" t="s">
        <v>66</v>
      </c>
      <c r="C13" s="15" t="s">
        <v>152</v>
      </c>
      <c r="D13" s="15" t="s">
        <v>153</v>
      </c>
      <c r="E13" s="16">
        <v>27.0</v>
      </c>
      <c r="F13" s="16">
        <v>32.0</v>
      </c>
      <c r="G13" s="13">
        <f t="shared" si="4"/>
        <v>0.84375</v>
      </c>
      <c r="H13" s="16"/>
      <c r="I13" s="16"/>
      <c r="J13" s="16"/>
      <c r="K13" s="16"/>
      <c r="L13" s="16"/>
      <c r="M13" s="16"/>
      <c r="N13" s="21"/>
      <c r="O13" s="16"/>
      <c r="P13" s="16"/>
      <c r="Q13" s="21" t="str">
        <f t="shared" si="1"/>
        <v>#DIV/0!</v>
      </c>
      <c r="R13" s="16"/>
      <c r="S13" s="16"/>
      <c r="T13" s="21" t="str">
        <f t="shared" si="2"/>
        <v>#DIV/0!</v>
      </c>
      <c r="U13" s="16"/>
      <c r="V13" s="16">
        <v>42.0</v>
      </c>
      <c r="W13" s="16">
        <v>43.0</v>
      </c>
      <c r="X13" s="13">
        <f t="shared" si="5"/>
        <v>0.976744186</v>
      </c>
      <c r="Y13" s="16"/>
      <c r="Z13" s="16"/>
      <c r="AA13" s="13"/>
      <c r="AB13" s="13"/>
      <c r="AC13" s="16" t="s">
        <v>151</v>
      </c>
    </row>
    <row r="14">
      <c r="A14" s="15">
        <v>1997.0</v>
      </c>
      <c r="B14" s="15" t="s">
        <v>66</v>
      </c>
      <c r="C14" s="15" t="s">
        <v>156</v>
      </c>
      <c r="D14" s="15" t="s">
        <v>118</v>
      </c>
      <c r="E14" s="16">
        <v>19.0</v>
      </c>
      <c r="F14" s="16">
        <v>20.0</v>
      </c>
      <c r="G14" s="13">
        <f t="shared" si="4"/>
        <v>0.95</v>
      </c>
      <c r="H14" s="16"/>
      <c r="I14" s="16"/>
      <c r="J14" s="16"/>
      <c r="K14" s="16"/>
      <c r="L14" s="16"/>
      <c r="M14" s="16"/>
      <c r="N14" s="21"/>
      <c r="O14" s="16"/>
      <c r="P14" s="16"/>
      <c r="Q14" s="21" t="str">
        <f t="shared" si="1"/>
        <v>#DIV/0!</v>
      </c>
      <c r="R14" s="16"/>
      <c r="S14" s="16"/>
      <c r="T14" s="21" t="str">
        <f t="shared" si="2"/>
        <v>#DIV/0!</v>
      </c>
      <c r="U14" s="16"/>
      <c r="V14" s="16">
        <v>37.0</v>
      </c>
      <c r="W14" s="16">
        <v>38.0</v>
      </c>
      <c r="X14" s="13">
        <f t="shared" si="5"/>
        <v>0.9736842105</v>
      </c>
      <c r="Y14" s="16"/>
      <c r="Z14" s="16"/>
      <c r="AA14" s="13"/>
      <c r="AB14" s="13"/>
      <c r="AC14" s="16" t="s">
        <v>151</v>
      </c>
    </row>
    <row r="15">
      <c r="A15" s="15">
        <v>1996.0</v>
      </c>
      <c r="B15" s="15" t="s">
        <v>66</v>
      </c>
      <c r="C15" s="15" t="s">
        <v>157</v>
      </c>
      <c r="D15" s="15" t="s">
        <v>158</v>
      </c>
      <c r="E15" s="16">
        <v>20.0</v>
      </c>
      <c r="F15" s="16">
        <v>20.0</v>
      </c>
      <c r="G15" s="13">
        <f t="shared" si="4"/>
        <v>1</v>
      </c>
      <c r="H15" s="16"/>
      <c r="I15" s="16"/>
      <c r="J15" s="16"/>
      <c r="K15" s="16"/>
      <c r="L15" s="16"/>
      <c r="M15" s="16"/>
      <c r="N15" s="21"/>
      <c r="O15" s="16"/>
      <c r="P15" s="16"/>
      <c r="Q15" s="21" t="str">
        <f t="shared" si="1"/>
        <v>#DIV/0!</v>
      </c>
      <c r="R15" s="16"/>
      <c r="S15" s="16"/>
      <c r="T15" s="21" t="str">
        <f t="shared" si="2"/>
        <v>#DIV/0!</v>
      </c>
      <c r="U15" s="16"/>
      <c r="V15" s="16">
        <v>24.0</v>
      </c>
      <c r="W15" s="16">
        <v>24.0</v>
      </c>
      <c r="X15" s="13">
        <f t="shared" si="5"/>
        <v>1</v>
      </c>
      <c r="Y15" s="16"/>
      <c r="Z15" s="16"/>
      <c r="AA15" s="13"/>
      <c r="AB15" s="13"/>
      <c r="AC15" s="16" t="s">
        <v>151</v>
      </c>
    </row>
    <row r="16">
      <c r="A16" s="15">
        <v>1995.0</v>
      </c>
      <c r="B16" s="15" t="s">
        <v>66</v>
      </c>
      <c r="C16" s="15" t="s">
        <v>159</v>
      </c>
      <c r="D16" s="15" t="s">
        <v>146</v>
      </c>
      <c r="E16" s="16">
        <v>23.0</v>
      </c>
      <c r="F16" s="16">
        <v>25.0</v>
      </c>
      <c r="G16" s="13">
        <f t="shared" si="4"/>
        <v>0.92</v>
      </c>
      <c r="H16" s="16"/>
      <c r="I16" s="16"/>
      <c r="J16" s="16"/>
      <c r="K16" s="16"/>
      <c r="L16" s="16"/>
      <c r="M16" s="16"/>
      <c r="N16" s="21"/>
      <c r="O16" s="16"/>
      <c r="P16" s="16"/>
      <c r="Q16" s="21" t="str">
        <f t="shared" si="1"/>
        <v>#DIV/0!</v>
      </c>
      <c r="R16" s="16"/>
      <c r="S16" s="16"/>
      <c r="T16" s="21" t="str">
        <f t="shared" si="2"/>
        <v>#DIV/0!</v>
      </c>
      <c r="U16" s="16"/>
      <c r="V16" s="16">
        <v>20.0</v>
      </c>
      <c r="W16" s="16">
        <v>20.0</v>
      </c>
      <c r="X16" s="13">
        <f t="shared" si="5"/>
        <v>1</v>
      </c>
      <c r="Y16" s="16"/>
      <c r="Z16" s="16"/>
      <c r="AA16" s="13"/>
      <c r="AB16" s="13"/>
      <c r="AC16" s="16" t="s">
        <v>151</v>
      </c>
    </row>
    <row r="17">
      <c r="A17" s="15">
        <v>1994.0</v>
      </c>
      <c r="B17" s="15" t="s">
        <v>66</v>
      </c>
      <c r="C17" s="15" t="s">
        <v>162</v>
      </c>
      <c r="D17" s="15" t="s">
        <v>163</v>
      </c>
      <c r="E17" s="16">
        <v>23.0</v>
      </c>
      <c r="F17" s="16">
        <v>29.0</v>
      </c>
      <c r="G17" s="13">
        <f t="shared" si="4"/>
        <v>0.7931034483</v>
      </c>
      <c r="H17" s="16"/>
      <c r="I17" s="16"/>
      <c r="J17" s="16"/>
      <c r="K17" s="16"/>
      <c r="L17" s="16"/>
      <c r="M17" s="16"/>
      <c r="N17" s="21"/>
      <c r="O17" s="16"/>
      <c r="P17" s="16"/>
      <c r="Q17" s="21" t="str">
        <f t="shared" si="1"/>
        <v>#DIV/0!</v>
      </c>
      <c r="R17" s="16"/>
      <c r="S17" s="16"/>
      <c r="T17" s="21" t="str">
        <f t="shared" si="2"/>
        <v>#DIV/0!</v>
      </c>
      <c r="U17" s="16"/>
      <c r="V17" s="16">
        <v>26.0</v>
      </c>
      <c r="W17" s="16">
        <v>26.0</v>
      </c>
      <c r="X17" s="13">
        <f t="shared" si="5"/>
        <v>1</v>
      </c>
      <c r="Y17" s="16"/>
      <c r="Z17" s="16"/>
      <c r="AA17" s="13"/>
      <c r="AB17" s="13"/>
      <c r="AC17" s="16" t="s">
        <v>151</v>
      </c>
    </row>
    <row r="18">
      <c r="A18" s="15">
        <v>1993.0</v>
      </c>
      <c r="B18" s="15" t="s">
        <v>66</v>
      </c>
      <c r="C18" s="15" t="s">
        <v>166</v>
      </c>
      <c r="D18" s="15" t="s">
        <v>167</v>
      </c>
      <c r="E18" s="16">
        <v>15.0</v>
      </c>
      <c r="F18" s="16">
        <v>19.0</v>
      </c>
      <c r="G18" s="13">
        <f t="shared" si="4"/>
        <v>0.7894736842</v>
      </c>
      <c r="H18" s="16"/>
      <c r="I18" s="16"/>
      <c r="J18" s="16"/>
      <c r="K18" s="16"/>
      <c r="L18" s="16"/>
      <c r="M18" s="16"/>
      <c r="N18" s="21"/>
      <c r="O18" s="16"/>
      <c r="P18" s="16"/>
      <c r="Q18" s="21" t="str">
        <f t="shared" si="1"/>
        <v>#DIV/0!</v>
      </c>
      <c r="R18" s="16"/>
      <c r="S18" s="16"/>
      <c r="T18" s="21" t="str">
        <f t="shared" si="2"/>
        <v>#DIV/0!</v>
      </c>
      <c r="U18" s="16"/>
      <c r="V18" s="16">
        <v>51.0</v>
      </c>
      <c r="W18" s="16">
        <v>53.0</v>
      </c>
      <c r="X18" s="13">
        <f t="shared" si="5"/>
        <v>0.9622641509</v>
      </c>
      <c r="Y18" s="16"/>
      <c r="Z18" s="16"/>
      <c r="AA18" s="13"/>
      <c r="AB18" s="13"/>
      <c r="AC18" s="16" t="s">
        <v>151</v>
      </c>
    </row>
    <row r="19">
      <c r="A19" s="15">
        <v>1992.0</v>
      </c>
      <c r="B19" s="15" t="s">
        <v>66</v>
      </c>
      <c r="C19" s="15" t="s">
        <v>168</v>
      </c>
      <c r="D19" s="15" t="s">
        <v>169</v>
      </c>
      <c r="E19" s="16">
        <v>23.0</v>
      </c>
      <c r="F19" s="16">
        <v>24.0</v>
      </c>
      <c r="G19" s="13">
        <f t="shared" si="4"/>
        <v>0.9583333333</v>
      </c>
      <c r="H19" s="16"/>
      <c r="I19" s="16"/>
      <c r="J19" s="16"/>
      <c r="K19" s="16"/>
      <c r="L19" s="16"/>
      <c r="M19" s="16"/>
      <c r="N19" s="21"/>
      <c r="O19" s="16"/>
      <c r="P19" s="16"/>
      <c r="Q19" s="21" t="str">
        <f t="shared" si="1"/>
        <v>#DIV/0!</v>
      </c>
      <c r="R19" s="16"/>
      <c r="S19" s="16"/>
      <c r="T19" s="21" t="str">
        <f t="shared" si="2"/>
        <v>#DIV/0!</v>
      </c>
      <c r="U19" s="16"/>
      <c r="V19" s="16">
        <v>33.0</v>
      </c>
      <c r="W19" s="16">
        <v>33.0</v>
      </c>
      <c r="X19" s="13">
        <f t="shared" si="5"/>
        <v>1</v>
      </c>
      <c r="Y19" s="16"/>
      <c r="Z19" s="16"/>
      <c r="AA19" s="13"/>
      <c r="AB19" s="13"/>
      <c r="AC19" s="16" t="s">
        <v>151</v>
      </c>
    </row>
    <row r="20">
      <c r="A20" s="15">
        <v>2009.0</v>
      </c>
      <c r="B20" s="15" t="s">
        <v>53</v>
      </c>
      <c r="C20" s="15" t="s">
        <v>170</v>
      </c>
      <c r="D20" s="15" t="s">
        <v>91</v>
      </c>
      <c r="E20" s="16">
        <v>30.0</v>
      </c>
      <c r="F20" s="16">
        <v>35.0</v>
      </c>
      <c r="G20" s="13">
        <f t="shared" si="4"/>
        <v>0.8571428571</v>
      </c>
      <c r="H20" s="16"/>
      <c r="I20" s="16"/>
      <c r="J20" s="16"/>
      <c r="K20" s="16"/>
      <c r="L20" s="16"/>
      <c r="M20" s="16"/>
      <c r="N20" s="21"/>
      <c r="O20" s="16"/>
      <c r="P20" s="16"/>
      <c r="Q20" s="21"/>
      <c r="R20" s="16"/>
      <c r="S20" s="16"/>
      <c r="T20" s="21"/>
      <c r="U20" s="16"/>
      <c r="V20" s="16">
        <v>42.0</v>
      </c>
      <c r="W20" s="16">
        <v>46.0</v>
      </c>
      <c r="X20" s="13">
        <f t="shared" si="5"/>
        <v>0.9130434783</v>
      </c>
      <c r="Y20" s="16">
        <v>132.0</v>
      </c>
      <c r="Z20" s="16"/>
      <c r="AA20" s="13"/>
      <c r="AB20" s="13"/>
      <c r="AC20" s="16" t="s">
        <v>151</v>
      </c>
    </row>
    <row r="21">
      <c r="A21" s="15">
        <v>2002.0</v>
      </c>
      <c r="B21" s="15" t="s">
        <v>66</v>
      </c>
      <c r="C21" s="15" t="s">
        <v>130</v>
      </c>
      <c r="D21" s="15" t="s">
        <v>123</v>
      </c>
      <c r="E21" s="16">
        <v>20.0</v>
      </c>
      <c r="F21" s="16">
        <v>22.0</v>
      </c>
      <c r="G21" s="13">
        <f t="shared" si="4"/>
        <v>0.9090909091</v>
      </c>
      <c r="H21" s="16"/>
      <c r="I21" s="16"/>
      <c r="J21" s="16"/>
      <c r="K21" s="16"/>
      <c r="L21" s="16"/>
      <c r="M21" s="16"/>
      <c r="N21" s="21"/>
      <c r="O21" s="16"/>
      <c r="P21" s="16"/>
      <c r="Q21" s="21" t="str">
        <f>DIVIDE(O21,P21)</f>
        <v>#DIV/0!</v>
      </c>
      <c r="R21" s="16"/>
      <c r="S21" s="16"/>
      <c r="T21" s="21" t="str">
        <f>DIVIDE(R21,S21)</f>
        <v>#DIV/0!</v>
      </c>
      <c r="U21" s="16"/>
      <c r="V21" s="16">
        <v>55.0</v>
      </c>
      <c r="W21" s="16">
        <v>56.0</v>
      </c>
      <c r="X21" s="13">
        <f t="shared" si="5"/>
        <v>0.9821428571</v>
      </c>
      <c r="Y21" s="16">
        <v>120.0</v>
      </c>
      <c r="Z21" s="16"/>
      <c r="AA21" s="13"/>
      <c r="AB21" s="13"/>
      <c r="AC21" s="16" t="s">
        <v>151</v>
      </c>
    </row>
  </sheetData>
  <conditionalFormatting sqref="B21:Y21">
    <cfRule type="containsText" dxfId="0" priority="1" operator="containsText" text="Winner">
      <formula>NOT(ISERROR(SEARCH(("Winner"),(B21))))</formula>
    </cfRule>
  </conditionalFormatting>
  <conditionalFormatting sqref="B20:Y20">
    <cfRule type="containsText" dxfId="0" priority="2" operator="containsText" text="Winner">
      <formula>NOT(ISERROR(SEARCH(("Winner"),(B20))))</formula>
    </cfRule>
  </conditionalFormatting>
  <conditionalFormatting sqref="B11:Y19">
    <cfRule type="containsText" dxfId="0" priority="3" operator="containsText" text="Winner">
      <formula>NOT(ISERROR(SEARCH(("Winner"),(B11))))</formula>
    </cfRule>
  </conditionalFormatting>
  <conditionalFormatting sqref="B8:Y10">
    <cfRule type="containsText" dxfId="0" priority="4" operator="containsText" text="Winner">
      <formula>NOT(ISERROR(SEARCH(("Winner"),(B8))))</formula>
    </cfRule>
  </conditionalFormatting>
  <conditionalFormatting sqref="B6:P7 Q6:Q10 R6:S7 T6:T10 U6:Y7">
    <cfRule type="containsText" dxfId="0" priority="5" operator="containsText" text="Winner">
      <formula>NOT(ISERROR(SEARCH(("Winner"),(B6))))</formula>
    </cfRule>
  </conditionalFormatting>
  <conditionalFormatting sqref="B4:Y5">
    <cfRule type="containsText" dxfId="0" priority="6" operator="containsText" text="Winner">
      <formula>NOT(ISERROR(SEARCH(("Winner"),(B4))))</formula>
    </cfRule>
  </conditionalFormatting>
  <conditionalFormatting sqref="B2:Y3">
    <cfRule type="containsText" dxfId="0" priority="7" operator="containsText" text="Winner">
      <formula>NOT(ISERROR(SEARCH(("Winner"),(B2))))</formula>
    </cfRule>
  </conditionalFormatting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13"/>
    <col customWidth="1" min="8" max="8" width="16.0"/>
    <col customWidth="1" min="10" max="10" width="18.13"/>
  </cols>
  <sheetData>
    <row r="1">
      <c r="A1" s="6" t="s">
        <v>2</v>
      </c>
      <c r="B1" s="6" t="s">
        <v>131</v>
      </c>
      <c r="C1" s="6" t="s">
        <v>132</v>
      </c>
      <c r="D1" s="3" t="s">
        <v>133</v>
      </c>
      <c r="E1" s="3" t="s">
        <v>134</v>
      </c>
      <c r="F1" s="3" t="s">
        <v>135</v>
      </c>
      <c r="H1" s="6" t="s">
        <v>136</v>
      </c>
      <c r="I1" s="6" t="s">
        <v>137</v>
      </c>
      <c r="J1" s="6" t="s">
        <v>138</v>
      </c>
    </row>
    <row r="2">
      <c r="A2" s="9">
        <v>2025.0</v>
      </c>
      <c r="B2" s="9">
        <v>9.0</v>
      </c>
      <c r="C2" s="9">
        <v>8.0</v>
      </c>
      <c r="D2" s="9" t="s">
        <v>140</v>
      </c>
      <c r="H2" s="9">
        <v>2025.0</v>
      </c>
      <c r="I2" s="9">
        <v>11.0</v>
      </c>
      <c r="J2" s="9">
        <v>2023.0</v>
      </c>
    </row>
    <row r="3">
      <c r="A3" s="9">
        <v>2024.0</v>
      </c>
      <c r="B3" s="9">
        <v>8.0</v>
      </c>
      <c r="C3" s="9">
        <v>7.0</v>
      </c>
      <c r="D3" s="9" t="s">
        <v>140</v>
      </c>
      <c r="H3" s="9">
        <v>2024.0</v>
      </c>
      <c r="I3" s="9">
        <v>10.0</v>
      </c>
      <c r="J3" s="9">
        <v>2022.0</v>
      </c>
    </row>
    <row r="4">
      <c r="A4" s="9">
        <v>2023.0</v>
      </c>
      <c r="B4" s="9">
        <v>8.0</v>
      </c>
      <c r="C4" s="9">
        <v>8.0</v>
      </c>
      <c r="E4" s="9" t="s">
        <v>140</v>
      </c>
      <c r="H4" s="9">
        <v>2020.0</v>
      </c>
      <c r="I4" s="9">
        <v>9.0</v>
      </c>
      <c r="J4" s="9">
        <v>2021.0</v>
      </c>
    </row>
    <row r="5">
      <c r="A5" s="9">
        <v>2022.0</v>
      </c>
      <c r="B5" s="9">
        <v>9.0</v>
      </c>
      <c r="C5" s="9">
        <v>9.0</v>
      </c>
      <c r="E5" s="9" t="s">
        <v>140</v>
      </c>
      <c r="H5" s="9">
        <v>2019.0</v>
      </c>
      <c r="I5" s="9">
        <v>10.0</v>
      </c>
      <c r="J5" s="9">
        <v>2016.0</v>
      </c>
    </row>
    <row r="6">
      <c r="A6" s="9">
        <v>2021.0</v>
      </c>
      <c r="B6" s="9">
        <v>6.0</v>
      </c>
      <c r="C6" s="9">
        <v>6.0</v>
      </c>
      <c r="E6" s="9" t="s">
        <v>140</v>
      </c>
      <c r="H6" s="9">
        <v>2018.0</v>
      </c>
      <c r="I6" s="9">
        <v>11.0</v>
      </c>
      <c r="J6" s="9">
        <v>2015.0</v>
      </c>
    </row>
    <row r="7">
      <c r="A7" s="9">
        <v>2020.0</v>
      </c>
      <c r="B7" s="9">
        <v>8.0</v>
      </c>
      <c r="C7" s="9">
        <v>6.0</v>
      </c>
      <c r="D7" s="9" t="s">
        <v>140</v>
      </c>
      <c r="H7" s="9">
        <v>2017.0</v>
      </c>
      <c r="I7" s="9">
        <v>11.0</v>
      </c>
      <c r="J7" s="9">
        <v>2014.0</v>
      </c>
    </row>
    <row r="8">
      <c r="A8" s="9">
        <v>2019.0</v>
      </c>
      <c r="B8" s="9">
        <v>8.0</v>
      </c>
      <c r="C8" s="9">
        <v>7.0</v>
      </c>
      <c r="D8" s="9" t="s">
        <v>140</v>
      </c>
      <c r="H8" s="9">
        <v>2013.0</v>
      </c>
      <c r="I8" s="9">
        <v>7.0</v>
      </c>
      <c r="J8" s="9">
        <v>2012.0</v>
      </c>
    </row>
    <row r="9">
      <c r="A9" s="9">
        <v>2018.0</v>
      </c>
      <c r="B9" s="9">
        <v>9.0</v>
      </c>
      <c r="C9" s="9">
        <v>8.0</v>
      </c>
      <c r="D9" s="9" t="s">
        <v>140</v>
      </c>
      <c r="H9" s="9">
        <v>2011.0</v>
      </c>
      <c r="I9" s="9">
        <v>9.0</v>
      </c>
      <c r="J9" s="9">
        <v>2010.0</v>
      </c>
    </row>
    <row r="10">
      <c r="A10" s="9">
        <v>2017.0</v>
      </c>
      <c r="B10" s="9">
        <v>9.0</v>
      </c>
      <c r="C10" s="9">
        <v>5.0</v>
      </c>
      <c r="D10" s="9" t="s">
        <v>140</v>
      </c>
      <c r="H10" s="9">
        <v>2009.0</v>
      </c>
      <c r="I10" s="9">
        <v>10.0</v>
      </c>
      <c r="J10" s="9">
        <v>2007.0</v>
      </c>
    </row>
    <row r="11">
      <c r="A11" s="9">
        <v>2016.0</v>
      </c>
      <c r="B11" s="9">
        <v>9.0</v>
      </c>
      <c r="C11" s="9">
        <v>8.0</v>
      </c>
      <c r="D11" s="9" t="s">
        <v>140</v>
      </c>
      <c r="H11" s="9">
        <v>2008.0</v>
      </c>
      <c r="I11" s="9">
        <v>10.0</v>
      </c>
      <c r="J11" s="9">
        <v>2006.0</v>
      </c>
    </row>
    <row r="12">
      <c r="A12" s="9">
        <v>2015.0</v>
      </c>
      <c r="B12" s="9">
        <v>8.0</v>
      </c>
      <c r="C12" s="9">
        <v>8.0</v>
      </c>
      <c r="E12" s="9" t="s">
        <v>140</v>
      </c>
      <c r="J12" s="9">
        <v>2005.0</v>
      </c>
    </row>
    <row r="13">
      <c r="A13" s="9">
        <v>2014.0</v>
      </c>
      <c r="B13" s="9">
        <v>8.0</v>
      </c>
      <c r="C13" s="9">
        <v>8.0</v>
      </c>
      <c r="E13" s="9" t="s">
        <v>140</v>
      </c>
      <c r="J13" s="9">
        <v>2004.0</v>
      </c>
    </row>
    <row r="14">
      <c r="A14" s="9">
        <v>2013.0</v>
      </c>
      <c r="B14" s="9">
        <v>6.0</v>
      </c>
      <c r="C14" s="9">
        <v>5.0</v>
      </c>
      <c r="D14" s="9" t="s">
        <v>140</v>
      </c>
    </row>
    <row r="15">
      <c r="A15" s="9">
        <v>2012.0</v>
      </c>
      <c r="B15" s="9">
        <v>9.0</v>
      </c>
      <c r="C15" s="9">
        <v>9.0</v>
      </c>
      <c r="E15" s="9" t="s">
        <v>140</v>
      </c>
    </row>
    <row r="16">
      <c r="A16" s="9">
        <v>2011.0</v>
      </c>
      <c r="B16" s="9">
        <v>7.0</v>
      </c>
      <c r="C16" s="9">
        <v>7.0</v>
      </c>
      <c r="E16" s="9" t="s">
        <v>140</v>
      </c>
    </row>
    <row r="17">
      <c r="A17" s="9">
        <v>2010.0</v>
      </c>
      <c r="B17" s="9">
        <v>8.0</v>
      </c>
      <c r="C17" s="9">
        <v>8.0</v>
      </c>
      <c r="E17" s="9" t="s">
        <v>140</v>
      </c>
    </row>
    <row r="18">
      <c r="A18" s="9">
        <v>2009.0</v>
      </c>
      <c r="B18" s="9">
        <v>8.0</v>
      </c>
      <c r="C18" s="9">
        <v>6.0</v>
      </c>
      <c r="D18" s="9" t="s">
        <v>140</v>
      </c>
    </row>
    <row r="19">
      <c r="A19" s="9">
        <v>2008.0</v>
      </c>
      <c r="B19" s="9">
        <v>9.0</v>
      </c>
      <c r="C19" s="9">
        <v>7.0</v>
      </c>
      <c r="D19" s="9" t="s">
        <v>140</v>
      </c>
    </row>
    <row r="20">
      <c r="A20" s="9">
        <v>2007.0</v>
      </c>
      <c r="B20" s="9">
        <v>7.0</v>
      </c>
      <c r="C20" s="9">
        <v>7.0</v>
      </c>
      <c r="E20" s="9" t="s">
        <v>140</v>
      </c>
    </row>
    <row r="21">
      <c r="A21" s="9">
        <v>2006.0</v>
      </c>
      <c r="B21" s="9">
        <v>5.0</v>
      </c>
      <c r="C21" s="9">
        <v>8.0</v>
      </c>
      <c r="F21" s="9" t="s">
        <v>140</v>
      </c>
    </row>
    <row r="22">
      <c r="A22" s="9">
        <v>2005.0</v>
      </c>
      <c r="B22" s="9">
        <v>5.0</v>
      </c>
      <c r="C22" s="9">
        <v>6.0</v>
      </c>
      <c r="F22" s="9" t="s">
        <v>140</v>
      </c>
    </row>
    <row r="23">
      <c r="A23" s="9">
        <v>2004.0</v>
      </c>
      <c r="B23" s="9">
        <v>7.0</v>
      </c>
      <c r="C23" s="9">
        <v>7.0</v>
      </c>
      <c r="E23" s="9" t="s">
        <v>140</v>
      </c>
    </row>
    <row r="50">
      <c r="B50" s="9">
        <v>7.0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174</v>
      </c>
    </row>
    <row r="2">
      <c r="A2" s="33" t="s">
        <v>137</v>
      </c>
      <c r="B2" s="33" t="s">
        <v>12</v>
      </c>
      <c r="C2" s="33" t="s">
        <v>175</v>
      </c>
      <c r="D2" s="33" t="s">
        <v>176</v>
      </c>
    </row>
    <row r="3">
      <c r="A3" s="34">
        <v>9.0</v>
      </c>
      <c r="B3" s="34">
        <v>7.0</v>
      </c>
      <c r="C3" s="34">
        <v>2.0</v>
      </c>
      <c r="D3" s="35">
        <v>0.778</v>
      </c>
    </row>
    <row r="4">
      <c r="A4" s="34">
        <v>8.0</v>
      </c>
      <c r="B4" s="34">
        <v>8.0</v>
      </c>
      <c r="C4" s="34">
        <v>13.0</v>
      </c>
      <c r="D4" s="35">
        <v>0.381</v>
      </c>
    </row>
    <row r="5">
      <c r="A5" s="34">
        <v>7.0</v>
      </c>
      <c r="B5" s="34">
        <v>3.0</v>
      </c>
      <c r="C5" s="34">
        <v>10.0</v>
      </c>
      <c r="D5" s="35">
        <v>0.231</v>
      </c>
    </row>
    <row r="6">
      <c r="A6" s="34">
        <v>6.0</v>
      </c>
      <c r="B6" s="34">
        <v>2.0</v>
      </c>
      <c r="C6" s="34">
        <v>10.0</v>
      </c>
      <c r="D6" s="35">
        <v>0.167</v>
      </c>
    </row>
    <row r="7">
      <c r="A7" s="34">
        <v>5.0</v>
      </c>
      <c r="B7" s="34">
        <v>2.0</v>
      </c>
      <c r="C7" s="34">
        <v>5.0</v>
      </c>
      <c r="D7" s="35">
        <v>0.286</v>
      </c>
    </row>
    <row r="8">
      <c r="A8" s="34">
        <v>4.0</v>
      </c>
      <c r="B8" s="34">
        <v>0.0</v>
      </c>
      <c r="C8" s="34">
        <v>5.0</v>
      </c>
      <c r="D8" s="36">
        <v>0.0</v>
      </c>
    </row>
  </sheetData>
  <mergeCells count="1">
    <mergeCell ref="A1:D1"/>
  </mergeCells>
  <drawing r:id="rId1"/>
</worksheet>
</file>